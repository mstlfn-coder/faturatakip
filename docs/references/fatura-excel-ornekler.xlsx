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A9F44BE1-B42C-41EB-9712-8F9F8DBB6304}" xr6:coauthVersionLast="47" xr6:coauthVersionMax="47" xr10:uidLastSave="{00000000-0000-0000-0000-000000000000}"/>
  <bookViews>
    <workbookView xWindow="-108" yWindow="-108" windowWidth="23256" windowHeight="12456" tabRatio="932" activeTab="4" xr2:uid="{5F03D906-35DF-41A6-94AF-CD6BD8E40A9D}"/>
  </bookViews>
  <sheets>
    <sheet name="yillikfaturaraporu" sheetId="2" r:id="rId1"/>
    <sheet name="aylikfaturalar" sheetId="3" r:id="rId2"/>
    <sheet name="abonelikyillikfaturalar" sheetId="4" r:id="rId3"/>
    <sheet name="abonelikaylikfaturalar" sheetId="5" r:id="rId4"/>
    <sheet name="abonelikturuyillikfaturalar" sheetId="6" r:id="rId5"/>
  </sheets>
  <externalReferences>
    <externalReference r:id="rId6"/>
    <externalReference r:id="rId7"/>
    <externalReference r:id="rId8"/>
  </externalReferences>
  <definedNames>
    <definedName name="__EKO1">#REF!</definedName>
    <definedName name="__EKO2">#REF!</definedName>
    <definedName name="__LOJ2">#REF!</definedName>
    <definedName name="__LOJ3">#REF!</definedName>
    <definedName name="__TAS2">#REF!</definedName>
    <definedName name="__TAS3">#REF!</definedName>
    <definedName name="_EKO1">#REF!</definedName>
    <definedName name="_EKO2">#REF!</definedName>
    <definedName name="_LOJ1">#REF!</definedName>
    <definedName name="_LOJ2">#REF!</definedName>
    <definedName name="_LOJ3">#REF!</definedName>
    <definedName name="_TAS2">#REF!</definedName>
    <definedName name="_TAS3">#REF!</definedName>
    <definedName name="AccessDatabase" hidden="1">"C:\Belgelerim\excelblg\maasV2.0.xls"</definedName>
    <definedName name="ADİEMANETTOPTUT">#REF!</definedName>
    <definedName name="AY">#REF!</definedName>
    <definedName name="AYGÜNÜ">#REF!</definedName>
    <definedName name="aylar">[1]parametreler!$B$1:$B$12</definedName>
    <definedName name="AYR">#REF!</definedName>
    <definedName name="AYÜCR">#REF!</definedName>
    <definedName name="BANKAADI">#REF!</definedName>
    <definedName name="BDizin">#REF!</definedName>
    <definedName name="BEDÜ1">#REF!</definedName>
    <definedName name="BEDÜ2">#REF!</definedName>
    <definedName name="BÜTÇEGELİRTOPLAMI">#REF!</definedName>
    <definedName name="BÜTÇEGİDERİTOPLAMI">#REF!</definedName>
    <definedName name="BÜTYILI">#REF!</definedName>
    <definedName name="ÇO">#REF!</definedName>
    <definedName name="ÇOT">#REF!</definedName>
    <definedName name="DAMVER">#REF!</definedName>
    <definedName name="DAMVERGECETOPTUT">#REF!</definedName>
    <definedName name="DAMVERGÜNTOPTUT">#REF!</definedName>
    <definedName name="DERECEKADEME">#REF!</definedName>
    <definedName name="DERECELER">#REF!</definedName>
    <definedName name="Dizin">#REF!</definedName>
    <definedName name="Dizinyılı">#REF!</definedName>
    <definedName name="EBDMM">#REF!</definedName>
    <definedName name="EBG">#REF!</definedName>
    <definedName name="EEBDMM">#REF!</definedName>
    <definedName name="EK15V">#REF!</definedName>
    <definedName name="EK20V">#REF!</definedName>
    <definedName name="EKDG1">#REF!</definedName>
    <definedName name="EKDG2">#REF!</definedName>
    <definedName name="EKGT3">#REF!</definedName>
    <definedName name="EKGT4">#REF!</definedName>
    <definedName name="EKTH">#REF!</definedName>
    <definedName name="EKTM">#REF!</definedName>
    <definedName name="EKTÖ">#REF!</definedName>
    <definedName name="EKTS">#REF!</definedName>
    <definedName name="EKTT1">#REF!</definedName>
    <definedName name="EKTT2">#REF!</definedName>
    <definedName name="ELEGEÇEN">#REF!</definedName>
    <definedName name="ELEGEÇENGECETOPTUT">#REF!</definedName>
    <definedName name="ELEGEÇENGÜNTOPTUT">#REF!</definedName>
    <definedName name="ELEGEÇENHARF">#REF!</definedName>
    <definedName name="ELKOD">#REF!</definedName>
    <definedName name="EMEKLİTOPLAMTUT">#REF!</definedName>
    <definedName name="EMK">#REF!</definedName>
    <definedName name="EŞ">#REF!</definedName>
    <definedName name="EŞT">#REF!</definedName>
    <definedName name="ETAK">#REF!</definedName>
    <definedName name="EYÖK">#REF!</definedName>
    <definedName name="FAÇYTT">#REF!</definedName>
    <definedName name="FAYGÜNÜ">#REF!</definedName>
    <definedName name="FÇOT">#REF!</definedName>
    <definedName name="FDAMVERTT">#REF!</definedName>
    <definedName name="FEBDMM">#REF!</definedName>
    <definedName name="FEGTT">#REF!</definedName>
    <definedName name="FEKTTT">#REF!</definedName>
    <definedName name="FEMTT">#REF!</definedName>
    <definedName name="FEŞT">#REF!</definedName>
    <definedName name="FETTT">#REF!</definedName>
    <definedName name="FGELTT">#REF!</definedName>
    <definedName name="FGELVERTT">#REF!</definedName>
    <definedName name="FGVMB">#REF!</definedName>
    <definedName name="firmaadi">[1]firmabilgileri!$CA$2:$CA$7</definedName>
    <definedName name="FKATT">#REF!</definedName>
    <definedName name="FKTT">#REF!</definedName>
    <definedName name="FMK">#REF!</definedName>
    <definedName name="FMTT">#REF!</definedName>
    <definedName name="FÖHTT">#REF!</definedName>
    <definedName name="FPS">#REF!</definedName>
    <definedName name="FT2TT">#REF!</definedName>
    <definedName name="FT3TT">#REF!</definedName>
    <definedName name="FTAK">#REF!</definedName>
    <definedName name="FTAT">#REF!</definedName>
    <definedName name="FTATT">#REF!</definedName>
    <definedName name="FTBK">#REF!</definedName>
    <definedName name="FTBT">#REF!</definedName>
    <definedName name="FTBTT">#REF!</definedName>
    <definedName name="FTEKTTT">#REF!</definedName>
    <definedName name="FTETTT">#REF!</definedName>
    <definedName name="FYDTTT">#REF!</definedName>
    <definedName name="FYEDEKSUBAY">#REF!</definedName>
    <definedName name="FYÖK">#REF!</definedName>
    <definedName name="FYÖTT">#REF!</definedName>
    <definedName name="GELVER1">#REF!</definedName>
    <definedName name="GELVER2">#REF!</definedName>
    <definedName name="GELVERGECETOPTUT">#REF!</definedName>
    <definedName name="GELVERGÜNTOPTUT">#REF!</definedName>
    <definedName name="gerceklestirmegorevlisiadi">[1]kurumbilgileri!$CB$4</definedName>
    <definedName name="gerceklestirmegorevlisiunvani">[1]kurumbilgileri!$CG$4</definedName>
    <definedName name="GİDERGECETOPTUT">#REF!</definedName>
    <definedName name="GİDERGÜNTOPTUT">#REF!</definedName>
    <definedName name="GİRİŞ100ARTIŞ">#REF!</definedName>
    <definedName name="GİRİŞ25ARTIŞ">#REF!</definedName>
    <definedName name="GİRİŞARTIŞTOPTUT">#REF!</definedName>
    <definedName name="GV">#REF!</definedName>
    <definedName name="GVMB">#REF!</definedName>
    <definedName name="harcamayetkilisiadi">[1]kurumbilgileri!$CB$3</definedName>
    <definedName name="harcamayetkilisiunvani">[1]kurumbilgileri!$CG$3</definedName>
    <definedName name="hizmet">[1]parametreler!$D$1:$D$4</definedName>
    <definedName name="İKRAZTOPTUT">#REF!</definedName>
    <definedName name="İLKSAN">#REF!</definedName>
    <definedName name="İLKSANTOPTUT">#REF!</definedName>
    <definedName name="KA">#REF!</definedName>
    <definedName name="KEFALET">#REF!</definedName>
    <definedName name="KEKTTT">#REF!</definedName>
    <definedName name="KESİLEN">#REF!</definedName>
    <definedName name="KETTT">#REF!</definedName>
    <definedName name="KISTDAMVERTOPTUT">#REF!</definedName>
    <definedName name="KISTELEGEÇENTOPTUT">#REF!</definedName>
    <definedName name="KISTGELTOPTUT">#REF!</definedName>
    <definedName name="KISTGELVERTOPTUT">#REF!</definedName>
    <definedName name="KISTGİDTOPTUT">#REF!</definedName>
    <definedName name="KISTKEFALETTOPTUT">#REF!</definedName>
    <definedName name="KISTTABKIDMAASTOPTUT">#REF!</definedName>
    <definedName name="KİB">#REF!</definedName>
    <definedName name="KİF">#REF!</definedName>
    <definedName name="KİRA1">#REF!</definedName>
    <definedName name="KİRA2">#REF!</definedName>
    <definedName name="KİRA3">#REF!</definedName>
    <definedName name="KİRA4">#REF!</definedName>
    <definedName name="KİRTOP">#REF!</definedName>
    <definedName name="KKATT">#REF!</definedName>
    <definedName name="KLTTT">#REF!</definedName>
    <definedName name="KMTT">#REF!</definedName>
    <definedName name="KÖHTTT">#REF!</definedName>
    <definedName name="KPS">#REF!</definedName>
    <definedName name="KTATT">#REF!</definedName>
    <definedName name="KTBTT">#REF!</definedName>
    <definedName name="KTETTT">#REF!</definedName>
    <definedName name="KTKAMTT">#REF!</definedName>
    <definedName name="KTTTT">#REF!</definedName>
    <definedName name="kurum">[1]kurumbilgileri!$CB$2</definedName>
    <definedName name="KURUMADI">#REF!</definedName>
    <definedName name="KYDTTT">#REF!</definedName>
    <definedName name="KYÖTT">#REF!</definedName>
    <definedName name="LOJTUT">#REF!</definedName>
    <definedName name="MA">#REF!</definedName>
    <definedName name="MAAŞALANI">#REF!</definedName>
    <definedName name="MAAŞTOPTUT">#REF!</definedName>
    <definedName name="MEMUR">[2]EKGÖS!#REF!</definedName>
    <definedName name="METREKARE">#REF!</definedName>
    <definedName name="MK">#REF!</definedName>
    <definedName name="MM">#REF!</definedName>
    <definedName name="MPS">#REF!</definedName>
    <definedName name="MUHMÜDÜRÜ">#REF!</definedName>
    <definedName name="MUTEMET">#REF!</definedName>
    <definedName name="MÜDÜR">#REF!</definedName>
    <definedName name="MÜS1">#REF!</definedName>
    <definedName name="MÜS2">#REF!</definedName>
    <definedName name="OM">#REF!</definedName>
    <definedName name="OYAK">#REF!</definedName>
    <definedName name="ÖĞRET">[2]EKGÖS!#REF!</definedName>
    <definedName name="ÖZELHİZMETHİZMETLİTABLOSU">#REF!</definedName>
    <definedName name="ÖZELHİZMETMEMURTABLOSU">#REF!</definedName>
    <definedName name="ÖZELHİZMETSAYMANTABLOSU">#REF!</definedName>
    <definedName name="ÖZELHİZMETŞEFTABLOSU">#REF!</definedName>
    <definedName name="ÖZİN">#REF!</definedName>
    <definedName name="personel">[3]personelbilgileri!$CB$3:$CB$22</definedName>
    <definedName name="RDY">#REF!</definedName>
    <definedName name="SGMÇ1">#REF!</definedName>
    <definedName name="SGMÇ2">#REF!</definedName>
    <definedName name="SİF">#REF!</definedName>
    <definedName name="sozlesme">[1]firmabilgileri!#REF!</definedName>
    <definedName name="TA">#REF!</definedName>
    <definedName name="TABANAYLIKTOPTUT">#REF!</definedName>
    <definedName name="TAHGECETOPTUT">#REF!</definedName>
    <definedName name="TAHGÜNTOPTUT">#REF!</definedName>
    <definedName name="TAHMEMURU">#REF!</definedName>
    <definedName name="TAHTAR">#REF!</definedName>
    <definedName name="TAK">#REF!</definedName>
    <definedName name="TANIM">#REF!</definedName>
    <definedName name="TAT">#REF!</definedName>
    <definedName name="TBK">#REF!</definedName>
    <definedName name="TBT">#REF!</definedName>
    <definedName name="TEKNİSYEN">[2]EKGÖS!#REF!</definedName>
    <definedName name="TEKNİSYENTAZMİNATTABLOSU">#REF!</definedName>
    <definedName name="TERARTIŞTOPTUT">#REF!</definedName>
    <definedName name="TERDAMVERTOPTUT">#REF!</definedName>
    <definedName name="TERDEVVERTOPTUT">#REF!</definedName>
    <definedName name="TERELEGEÇENTOPTUT">#REF!</definedName>
    <definedName name="TEREMEK15TOPTUT">#REF!</definedName>
    <definedName name="TERGELİRTOPTUT">#REF!</definedName>
    <definedName name="TERGELVERTOPTUT">#REF!</definedName>
    <definedName name="TERGİDERTOPTUT">#REF!</definedName>
    <definedName name="TERGİRİŞARTIŞTOPTUT">#REF!</definedName>
    <definedName name="TERKATTOPTUT">#REF!</definedName>
    <definedName name="TERTAHTOPTUT">#REF!</definedName>
    <definedName name="TERTAS2TOPTUT">#REF!</definedName>
    <definedName name="TERTAS3TOPTUT">#REF!</definedName>
    <definedName name="TKATT">#REF!</definedName>
    <definedName name="TMA">#REF!</definedName>
    <definedName name="TÖKATT">#REF!</definedName>
    <definedName name="ust">[1]kurumbilgileri!$CG$2</definedName>
    <definedName name="ustiki">[1]kurumbilgileri!$CO$2</definedName>
    <definedName name="ÜNVANLAR">#REF!</definedName>
    <definedName name="VİAĞUSTOS">#REF!</definedName>
    <definedName name="VİARALIK">#REF!</definedName>
    <definedName name="VİDAMVER">#REF!</definedName>
    <definedName name="VİEKİM">#REF!</definedName>
    <definedName name="VİELEGEÇEN">#REF!</definedName>
    <definedName name="VİEYLÜL">#REF!</definedName>
    <definedName name="VİHAZİRAN">#REF!</definedName>
    <definedName name="VİKASIM">#REF!</definedName>
    <definedName name="VİMART">#REF!</definedName>
    <definedName name="VİMAYIS">#REF!</definedName>
    <definedName name="VİNİSAN">#REF!</definedName>
    <definedName name="VİŞUBAT">#REF!</definedName>
    <definedName name="VİTEMMUZ">#REF!</definedName>
    <definedName name="YAB">#REF!</definedName>
    <definedName name="YABANCIDİLTAZTOPTUTAR">#REF!</definedName>
    <definedName name="YANÖDE">#REF!</definedName>
    <definedName name="_xlnm.Print_Area" localSheetId="3">abonelikaylikfaturalar!$CA$1:$DD$20</definedName>
    <definedName name="_xlnm.Print_Area" localSheetId="4">abonelikturuyillikfaturalar!$CA$1:$DD$37</definedName>
    <definedName name="_xlnm.Print_Area" localSheetId="2">abonelikyillikfaturalar!$A$1:$DD$24</definedName>
    <definedName name="_xlnm.Print_Area" localSheetId="1">aylikfaturalar!$CA$1:$DD$79</definedName>
    <definedName name="_xlnm.Print_Area" localSheetId="0">yillikfaturaraporu!$A$1:$DD$84</definedName>
    <definedName name="_xlnm.Print_Titles" localSheetId="2">abonelikyillikfaturalar!$11:$11</definedName>
    <definedName name="_xlnm.Print_Titles" localSheetId="0">yillikfaturaraporu!$11:$11</definedName>
    <definedName name="YEDEKSUBAY">#REF!</definedName>
    <definedName name="yillar">[1]parametreler!$A$1:$A$13</definedName>
    <definedName name="YÖK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Y35" i="6" l="1"/>
  <c r="BY34" i="6"/>
  <c r="BY33" i="6"/>
  <c r="BY32" i="6"/>
  <c r="BY31" i="6"/>
  <c r="BY30" i="6"/>
  <c r="BY29" i="6"/>
  <c r="BY28" i="6"/>
  <c r="BY27" i="6"/>
  <c r="BY26" i="6"/>
  <c r="BY25" i="6"/>
  <c r="BY24" i="6"/>
  <c r="BY23" i="6"/>
  <c r="BY22" i="6"/>
  <c r="BY21" i="6"/>
  <c r="BY20" i="6"/>
  <c r="BY19" i="6"/>
  <c r="BY18" i="6"/>
  <c r="BY17" i="6"/>
  <c r="BY16" i="6"/>
  <c r="BY15" i="6"/>
  <c r="BX15" i="6" s="1"/>
  <c r="BY14" i="6"/>
  <c r="BX14" i="6" s="1"/>
  <c r="BY13" i="6"/>
  <c r="BX13" i="6" s="1"/>
  <c r="BY12" i="6"/>
  <c r="BY19" i="5"/>
  <c r="BY18" i="5"/>
  <c r="BY17" i="5"/>
  <c r="BY16" i="5"/>
  <c r="BY15" i="5"/>
  <c r="BY14" i="5"/>
  <c r="BX14" i="5" s="1"/>
  <c r="BY13" i="5"/>
  <c r="BX13" i="5" s="1"/>
  <c r="BY12" i="5"/>
  <c r="BX23" i="4"/>
  <c r="BX22" i="4"/>
  <c r="BX21" i="4"/>
  <c r="BX20" i="4"/>
  <c r="BX19" i="4"/>
  <c r="BX18" i="4"/>
  <c r="BX17" i="4"/>
  <c r="BX16" i="4"/>
  <c r="BX15" i="4"/>
  <c r="BX14" i="4"/>
  <c r="BX13" i="4"/>
  <c r="BX12" i="4"/>
  <c r="BW12" i="4" s="1"/>
  <c r="BY19" i="3"/>
  <c r="BX19" i="3"/>
  <c r="BW19" i="3"/>
  <c r="BY18" i="3"/>
  <c r="BX18" i="3"/>
  <c r="BW18" i="3" s="1"/>
  <c r="BY17" i="3"/>
  <c r="BX17" i="3"/>
  <c r="BY16" i="3"/>
  <c r="BX16" i="3"/>
  <c r="BW16" i="3" s="1"/>
  <c r="BY15" i="3"/>
  <c r="BX15" i="3"/>
  <c r="BW15" i="3"/>
  <c r="BY14" i="3"/>
  <c r="BX14" i="3"/>
  <c r="BW14" i="3" s="1"/>
  <c r="BY13" i="3"/>
  <c r="BX13" i="3"/>
  <c r="BY12" i="3"/>
  <c r="BX12" i="3"/>
  <c r="BW12" i="3" s="1"/>
  <c r="BV12" i="3" s="1"/>
  <c r="BX83" i="2"/>
  <c r="BW83" i="2" s="1"/>
  <c r="BX82" i="2"/>
  <c r="BX81" i="2"/>
  <c r="BX80" i="2"/>
  <c r="BX79" i="2"/>
  <c r="BX78" i="2"/>
  <c r="BX77" i="2"/>
  <c r="BX76" i="2"/>
  <c r="BX75" i="2"/>
  <c r="BX74" i="2"/>
  <c r="BX73" i="2"/>
  <c r="BX72" i="2"/>
  <c r="BX71" i="2"/>
  <c r="BX70" i="2"/>
  <c r="BX69" i="2"/>
  <c r="BX68" i="2"/>
  <c r="BX67" i="2"/>
  <c r="BX66" i="2"/>
  <c r="BX65" i="2"/>
  <c r="BX64" i="2"/>
  <c r="BX63" i="2"/>
  <c r="BX62" i="2"/>
  <c r="BX61" i="2"/>
  <c r="BX60" i="2"/>
  <c r="BX59" i="2"/>
  <c r="BX58" i="2"/>
  <c r="BX57" i="2"/>
  <c r="BX56" i="2"/>
  <c r="BX55" i="2"/>
  <c r="BX54" i="2"/>
  <c r="BX53" i="2"/>
  <c r="BX52" i="2"/>
  <c r="BX51" i="2"/>
  <c r="BX50" i="2"/>
  <c r="BX49" i="2"/>
  <c r="BX48" i="2"/>
  <c r="BX47" i="2"/>
  <c r="BX46" i="2"/>
  <c r="BX45" i="2"/>
  <c r="BX44" i="2"/>
  <c r="BX43" i="2"/>
  <c r="BX42" i="2"/>
  <c r="BX41" i="2"/>
  <c r="BX40" i="2"/>
  <c r="BX39" i="2"/>
  <c r="BX38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W20" i="2" s="1"/>
  <c r="BX19" i="2"/>
  <c r="BX18" i="2"/>
  <c r="BW18" i="2" s="1"/>
  <c r="BX17" i="2"/>
  <c r="BX16" i="2"/>
  <c r="BW16" i="2" s="1"/>
  <c r="BX15" i="2"/>
  <c r="BX14" i="2"/>
  <c r="BX13" i="2"/>
  <c r="BW13" i="2" s="1"/>
  <c r="BX12" i="2"/>
  <c r="BW12" i="2"/>
  <c r="BX35" i="6" l="1"/>
  <c r="BX26" i="6"/>
  <c r="BX20" i="6"/>
  <c r="BX33" i="6"/>
  <c r="BX25" i="6"/>
  <c r="BX17" i="6"/>
  <c r="BX30" i="6"/>
  <c r="BX24" i="6"/>
  <c r="BX16" i="6"/>
  <c r="BX34" i="6"/>
  <c r="BX27" i="6"/>
  <c r="BX18" i="6"/>
  <c r="BX31" i="6"/>
  <c r="BX21" i="6"/>
  <c r="BX28" i="6"/>
  <c r="BX22" i="6"/>
  <c r="BX29" i="6"/>
  <c r="BX23" i="6"/>
  <c r="BX19" i="6"/>
  <c r="BX15" i="5"/>
  <c r="BX17" i="5"/>
  <c r="BX18" i="5"/>
  <c r="BX16" i="5"/>
  <c r="BW17" i="4"/>
  <c r="BW16" i="4"/>
  <c r="BW17" i="3"/>
  <c r="BW13" i="3"/>
  <c r="BW76" i="2"/>
  <c r="BW82" i="2"/>
  <c r="BW61" i="2"/>
  <c r="BW47" i="2"/>
  <c r="BW52" i="2"/>
  <c r="BW58" i="2"/>
  <c r="BW79" i="2"/>
  <c r="BW62" i="2"/>
  <c r="BW25" i="2"/>
  <c r="BW78" i="2"/>
  <c r="BW71" i="2"/>
  <c r="BW48" i="2"/>
  <c r="BW59" i="2"/>
  <c r="BW49" i="2"/>
  <c r="BW23" i="4"/>
  <c r="BW18" i="4"/>
  <c r="BW15" i="4"/>
  <c r="BW22" i="4"/>
  <c r="BW20" i="4"/>
  <c r="BW13" i="4"/>
  <c r="BW21" i="4"/>
  <c r="BW19" i="4"/>
  <c r="BW14" i="4"/>
  <c r="BX12" i="6"/>
  <c r="BX32" i="6"/>
  <c r="BX19" i="5"/>
  <c r="BX12" i="5"/>
  <c r="A23" i="4"/>
  <c r="A22" i="4"/>
  <c r="A21" i="4"/>
  <c r="A20" i="4"/>
  <c r="A19" i="4"/>
  <c r="A18" i="4"/>
  <c r="A17" i="4"/>
  <c r="A16" i="4"/>
  <c r="A15" i="4"/>
  <c r="A14" i="4"/>
  <c r="A13" i="4"/>
  <c r="A12" i="4"/>
  <c r="BV17" i="3"/>
  <c r="BV16" i="3"/>
  <c r="BV15" i="3"/>
  <c r="BV19" i="3"/>
  <c r="BV18" i="3"/>
  <c r="CO83" i="2"/>
  <c r="CZ83" i="2"/>
  <c r="CV83" i="2"/>
  <c r="CA83" i="2"/>
  <c r="A83" i="2" s="1"/>
  <c r="CC83" i="2"/>
  <c r="CF83" i="2"/>
  <c r="CK83" i="2"/>
  <c r="CC82" i="2"/>
  <c r="CK82" i="2"/>
  <c r="CV82" i="2"/>
  <c r="CA82" i="2"/>
  <c r="A82" i="2" s="1"/>
  <c r="CF82" i="2"/>
  <c r="CO82" i="2"/>
  <c r="CZ82" i="2"/>
  <c r="CA79" i="2"/>
  <c r="A79" i="2" s="1"/>
  <c r="CC79" i="2"/>
  <c r="CK79" i="2"/>
  <c r="CV79" i="2"/>
  <c r="CZ79" i="2"/>
  <c r="CF79" i="2"/>
  <c r="CO79" i="2"/>
  <c r="CA78" i="2"/>
  <c r="A78" i="2" s="1"/>
  <c r="CF78" i="2"/>
  <c r="CK78" i="2"/>
  <c r="CV78" i="2"/>
  <c r="CC78" i="2"/>
  <c r="CO78" i="2"/>
  <c r="CZ78" i="2"/>
  <c r="CA76" i="2"/>
  <c r="A76" i="2" s="1"/>
  <c r="CC76" i="2"/>
  <c r="CF76" i="2"/>
  <c r="CK76" i="2"/>
  <c r="CO76" i="2"/>
  <c r="CV76" i="2"/>
  <c r="CZ76" i="2"/>
  <c r="CC71" i="2"/>
  <c r="CF71" i="2"/>
  <c r="CO71" i="2"/>
  <c r="CZ71" i="2"/>
  <c r="CK71" i="2"/>
  <c r="CV71" i="2"/>
  <c r="CA71" i="2"/>
  <c r="A71" i="2" s="1"/>
  <c r="CF62" i="2"/>
  <c r="CO62" i="2"/>
  <c r="CA62" i="2"/>
  <c r="A62" i="2" s="1"/>
  <c r="CV62" i="2"/>
  <c r="CC62" i="2"/>
  <c r="CK62" i="2"/>
  <c r="CZ62" i="2"/>
  <c r="CF61" i="2"/>
  <c r="CO61" i="2"/>
  <c r="CC61" i="2"/>
  <c r="CZ61" i="2"/>
  <c r="CK61" i="2"/>
  <c r="CA61" i="2"/>
  <c r="A61" i="2" s="1"/>
  <c r="CV61" i="2"/>
  <c r="CC59" i="2"/>
  <c r="CV59" i="2"/>
  <c r="CF59" i="2"/>
  <c r="CO59" i="2"/>
  <c r="CK59" i="2"/>
  <c r="CZ59" i="2"/>
  <c r="CA59" i="2"/>
  <c r="A59" i="2" s="1"/>
  <c r="CK58" i="2"/>
  <c r="CA58" i="2"/>
  <c r="A58" i="2" s="1"/>
  <c r="CV58" i="2"/>
  <c r="CF58" i="2"/>
  <c r="CZ58" i="2"/>
  <c r="CC58" i="2"/>
  <c r="CO58" i="2"/>
  <c r="CC52" i="2"/>
  <c r="CV52" i="2"/>
  <c r="CO52" i="2"/>
  <c r="CA52" i="2"/>
  <c r="A52" i="2" s="1"/>
  <c r="CZ52" i="2"/>
  <c r="CK52" i="2"/>
  <c r="CF52" i="2"/>
  <c r="CZ49" i="2"/>
  <c r="CA49" i="2"/>
  <c r="A49" i="2" s="1"/>
  <c r="CV49" i="2"/>
  <c r="CK49" i="2"/>
  <c r="CF49" i="2"/>
  <c r="CC49" i="2"/>
  <c r="CO49" i="2"/>
  <c r="CO48" i="2"/>
  <c r="CC48" i="2"/>
  <c r="CV48" i="2"/>
  <c r="CA48" i="2"/>
  <c r="A48" i="2" s="1"/>
  <c r="CZ48" i="2"/>
  <c r="CF48" i="2"/>
  <c r="CK48" i="2"/>
  <c r="CZ47" i="2"/>
  <c r="CA47" i="2"/>
  <c r="A47" i="2" s="1"/>
  <c r="CO47" i="2"/>
  <c r="CC47" i="2"/>
  <c r="CK47" i="2"/>
  <c r="CF47" i="2"/>
  <c r="CV47" i="2"/>
  <c r="A25" i="2"/>
  <c r="A20" i="2"/>
  <c r="A18" i="2"/>
  <c r="A16" i="2"/>
  <c r="A13" i="2"/>
  <c r="BW39" i="2"/>
  <c r="BW38" i="2"/>
  <c r="BW37" i="2"/>
  <c r="BW36" i="2"/>
  <c r="BW35" i="2"/>
  <c r="BW34" i="2"/>
  <c r="BW29" i="2"/>
  <c r="BW19" i="2"/>
  <c r="BW56" i="2"/>
  <c r="BW53" i="2"/>
  <c r="BW31" i="2"/>
  <c r="BW27" i="2"/>
  <c r="BW23" i="2"/>
  <c r="BW14" i="2"/>
  <c r="BW54" i="2"/>
  <c r="BW26" i="2"/>
  <c r="BW50" i="2"/>
  <c r="BW44" i="2"/>
  <c r="BW33" i="2"/>
  <c r="BW30" i="2"/>
  <c r="BW24" i="2"/>
  <c r="BW80" i="2"/>
  <c r="BW72" i="2"/>
  <c r="BW70" i="2"/>
  <c r="BW64" i="2"/>
  <c r="BW63" i="2"/>
  <c r="BW51" i="2"/>
  <c r="BW46" i="2"/>
  <c r="BW28" i="2"/>
  <c r="BW21" i="2"/>
  <c r="BW77" i="2"/>
  <c r="BW75" i="2"/>
  <c r="BW74" i="2"/>
  <c r="BW69" i="2"/>
  <c r="BW66" i="2"/>
  <c r="BW57" i="2"/>
  <c r="BW45" i="2"/>
  <c r="BW32" i="2"/>
  <c r="BW81" i="2"/>
  <c r="BW67" i="2"/>
  <c r="BW73" i="2"/>
  <c r="BW68" i="2"/>
  <c r="BW65" i="2"/>
  <c r="BW15" i="2"/>
  <c r="BW22" i="2"/>
  <c r="BW60" i="2"/>
  <c r="BW55" i="2"/>
  <c r="BW43" i="2"/>
  <c r="BW42" i="2"/>
  <c r="BW41" i="2"/>
  <c r="BW40" i="2"/>
  <c r="BW17" i="2"/>
  <c r="A12" i="2"/>
  <c r="BV14" i="3" l="1"/>
  <c r="BV13" i="3"/>
  <c r="A39" i="2"/>
  <c r="A38" i="2"/>
  <c r="A37" i="2"/>
  <c r="A36" i="2"/>
  <c r="A35" i="2"/>
  <c r="A34" i="2"/>
  <c r="A29" i="2"/>
  <c r="A19" i="2"/>
  <c r="CK56" i="2"/>
  <c r="CO56" i="2"/>
  <c r="CC56" i="2"/>
  <c r="CZ56" i="2"/>
  <c r="CF56" i="2"/>
  <c r="CA56" i="2"/>
  <c r="A56" i="2" s="1"/>
  <c r="CV56" i="2"/>
  <c r="CZ53" i="2"/>
  <c r="CK53" i="2"/>
  <c r="CV53" i="2"/>
  <c r="CO53" i="2"/>
  <c r="CA53" i="2"/>
  <c r="A53" i="2" s="1"/>
  <c r="CF53" i="2"/>
  <c r="CC53" i="2"/>
  <c r="A31" i="2"/>
  <c r="A27" i="2"/>
  <c r="A23" i="2"/>
  <c r="A14" i="2"/>
  <c r="CF54" i="2"/>
  <c r="CZ54" i="2"/>
  <c r="CA54" i="2"/>
  <c r="A54" i="2" s="1"/>
  <c r="CO54" i="2"/>
  <c r="CK54" i="2"/>
  <c r="CV54" i="2"/>
  <c r="CC54" i="2"/>
  <c r="A26" i="2"/>
  <c r="CK50" i="2"/>
  <c r="CC50" i="2"/>
  <c r="CZ50" i="2"/>
  <c r="CF50" i="2"/>
  <c r="CA50" i="2"/>
  <c r="A50" i="2" s="1"/>
  <c r="CV50" i="2"/>
  <c r="CO50" i="2"/>
  <c r="CK44" i="2"/>
  <c r="CO44" i="2"/>
  <c r="CV44" i="2"/>
  <c r="CC44" i="2"/>
  <c r="CZ44" i="2"/>
  <c r="CA44" i="2"/>
  <c r="A44" i="2" s="1"/>
  <c r="CF44" i="2"/>
  <c r="A33" i="2"/>
  <c r="A30" i="2"/>
  <c r="A24" i="2"/>
  <c r="CA80" i="2"/>
  <c r="A80" i="2" s="1"/>
  <c r="CF80" i="2"/>
  <c r="CV80" i="2"/>
  <c r="CK80" i="2"/>
  <c r="CZ80" i="2"/>
  <c r="CC80" i="2"/>
  <c r="CO80" i="2"/>
  <c r="CK72" i="2"/>
  <c r="CZ72" i="2"/>
  <c r="CA72" i="2"/>
  <c r="A72" i="2" s="1"/>
  <c r="CF72" i="2"/>
  <c r="CO72" i="2"/>
  <c r="CC72" i="2"/>
  <c r="CV72" i="2"/>
  <c r="CF70" i="2"/>
  <c r="CO70" i="2"/>
  <c r="CA70" i="2"/>
  <c r="A70" i="2" s="1"/>
  <c r="CV70" i="2"/>
  <c r="CK70" i="2"/>
  <c r="CC70" i="2"/>
  <c r="CZ70" i="2"/>
  <c r="CF64" i="2"/>
  <c r="CO64" i="2"/>
  <c r="CA64" i="2"/>
  <c r="A64" i="2" s="1"/>
  <c r="CV64" i="2"/>
  <c r="CC64" i="2"/>
  <c r="CK64" i="2"/>
  <c r="CZ64" i="2"/>
  <c r="CF63" i="2"/>
  <c r="CC63" i="2"/>
  <c r="CO63" i="2"/>
  <c r="CK63" i="2"/>
  <c r="CV63" i="2"/>
  <c r="CA63" i="2"/>
  <c r="A63" i="2" s="1"/>
  <c r="CZ63" i="2"/>
  <c r="CK51" i="2"/>
  <c r="CZ51" i="2"/>
  <c r="CF51" i="2"/>
  <c r="CA51" i="2"/>
  <c r="A51" i="2" s="1"/>
  <c r="CO51" i="2"/>
  <c r="CV51" i="2"/>
  <c r="CC51" i="2"/>
  <c r="CO46" i="2"/>
  <c r="CC46" i="2"/>
  <c r="CA46" i="2"/>
  <c r="A46" i="2" s="1"/>
  <c r="CK46" i="2"/>
  <c r="CZ46" i="2"/>
  <c r="CV46" i="2"/>
  <c r="CF46" i="2"/>
  <c r="A28" i="2"/>
  <c r="A21" i="2"/>
  <c r="CC77" i="2"/>
  <c r="CK77" i="2"/>
  <c r="CZ77" i="2"/>
  <c r="CA77" i="2"/>
  <c r="A77" i="2" s="1"/>
  <c r="CF77" i="2"/>
  <c r="CO77" i="2"/>
  <c r="CV77" i="2"/>
  <c r="CF75" i="2"/>
  <c r="CV75" i="2"/>
  <c r="CA75" i="2"/>
  <c r="A75" i="2" s="1"/>
  <c r="CO75" i="2"/>
  <c r="CC75" i="2"/>
  <c r="CK75" i="2"/>
  <c r="CZ75" i="2"/>
  <c r="CC74" i="2"/>
  <c r="CV74" i="2"/>
  <c r="CF74" i="2"/>
  <c r="CO74" i="2"/>
  <c r="CA74" i="2"/>
  <c r="A74" i="2" s="1"/>
  <c r="CK74" i="2"/>
  <c r="CZ74" i="2"/>
  <c r="CC69" i="2"/>
  <c r="CV69" i="2"/>
  <c r="CF69" i="2"/>
  <c r="CO69" i="2"/>
  <c r="CA69" i="2"/>
  <c r="A69" i="2" s="1"/>
  <c r="CK69" i="2"/>
  <c r="CZ69" i="2"/>
  <c r="CC66" i="2"/>
  <c r="CO66" i="2"/>
  <c r="CK66" i="2"/>
  <c r="CZ66" i="2"/>
  <c r="CA66" i="2"/>
  <c r="A66" i="2" s="1"/>
  <c r="CF66" i="2"/>
  <c r="CV66" i="2"/>
  <c r="CZ57" i="2"/>
  <c r="CO57" i="2"/>
  <c r="CK57" i="2"/>
  <c r="CF57" i="2"/>
  <c r="CA57" i="2"/>
  <c r="A57" i="2" s="1"/>
  <c r="CV57" i="2"/>
  <c r="CC57" i="2"/>
  <c r="CZ45" i="2"/>
  <c r="CC45" i="2"/>
  <c r="CA45" i="2"/>
  <c r="A45" i="2" s="1"/>
  <c r="CO45" i="2"/>
  <c r="CK45" i="2"/>
  <c r="CF45" i="2"/>
  <c r="CV45" i="2"/>
  <c r="A32" i="2"/>
  <c r="CC81" i="2"/>
  <c r="CV81" i="2"/>
  <c r="CK81" i="2"/>
  <c r="CA81" i="2"/>
  <c r="A81" i="2" s="1"/>
  <c r="CO81" i="2"/>
  <c r="CZ81" i="2"/>
  <c r="CF81" i="2"/>
  <c r="CC67" i="2"/>
  <c r="CO67" i="2"/>
  <c r="CA67" i="2"/>
  <c r="A67" i="2" s="1"/>
  <c r="CF67" i="2"/>
  <c r="CV67" i="2"/>
  <c r="CK67" i="2"/>
  <c r="CZ67" i="2"/>
  <c r="CF73" i="2"/>
  <c r="CZ73" i="2"/>
  <c r="CA73" i="2"/>
  <c r="A73" i="2" s="1"/>
  <c r="CK73" i="2"/>
  <c r="CV73" i="2"/>
  <c r="CC73" i="2"/>
  <c r="CO73" i="2"/>
  <c r="CC68" i="2"/>
  <c r="CO68" i="2"/>
  <c r="CA68" i="2"/>
  <c r="A68" i="2" s="1"/>
  <c r="CF68" i="2"/>
  <c r="CV68" i="2"/>
  <c r="CK68" i="2"/>
  <c r="CZ68" i="2"/>
  <c r="CF65" i="2"/>
  <c r="CV65" i="2"/>
  <c r="CC65" i="2"/>
  <c r="CA65" i="2"/>
  <c r="A65" i="2" s="1"/>
  <c r="CO65" i="2"/>
  <c r="CK65" i="2"/>
  <c r="CZ65" i="2"/>
  <c r="A15" i="2"/>
  <c r="A22" i="2"/>
  <c r="CF60" i="2"/>
  <c r="CV60" i="2"/>
  <c r="CA60" i="2"/>
  <c r="A60" i="2" s="1"/>
  <c r="CK60" i="2"/>
  <c r="CO60" i="2"/>
  <c r="CC60" i="2"/>
  <c r="CZ60" i="2"/>
  <c r="CO55" i="2"/>
  <c r="CC55" i="2"/>
  <c r="CF55" i="2"/>
  <c r="CA55" i="2"/>
  <c r="A55" i="2" s="1"/>
  <c r="CZ55" i="2"/>
  <c r="CK55" i="2"/>
  <c r="CV55" i="2"/>
  <c r="CA43" i="2"/>
  <c r="A43" i="2" s="1"/>
  <c r="CF43" i="2"/>
  <c r="CC43" i="2"/>
  <c r="CK43" i="2"/>
  <c r="CO43" i="2"/>
  <c r="CZ43" i="2"/>
  <c r="CV43" i="2"/>
  <c r="CA42" i="2"/>
  <c r="A42" i="2" s="1"/>
  <c r="CC42" i="2"/>
  <c r="CF42" i="2"/>
  <c r="CK42" i="2"/>
  <c r="CO42" i="2"/>
  <c r="CV42" i="2"/>
  <c r="CZ42" i="2"/>
  <c r="CA41" i="2"/>
  <c r="A41" i="2" s="1"/>
  <c r="CC41" i="2"/>
  <c r="CF41" i="2"/>
  <c r="CK41" i="2"/>
  <c r="CO41" i="2"/>
  <c r="CV41" i="2"/>
  <c r="CZ41" i="2"/>
  <c r="A40" i="2"/>
  <c r="A17" i="2"/>
</calcChain>
</file>

<file path=xl/sharedStrings.xml><?xml version="1.0" encoding="utf-8"?>
<sst xmlns="http://schemas.openxmlformats.org/spreadsheetml/2006/main" count="484" uniqueCount="89">
  <si>
    <t>T.C.</t>
  </si>
  <si>
    <t>Yıl</t>
  </si>
  <si>
    <t>Tarih</t>
  </si>
  <si>
    <t>:</t>
  </si>
  <si>
    <t>YILLIK FATURA RAPORU</t>
  </si>
  <si>
    <t>Açıklama</t>
  </si>
  <si>
    <t>Ay</t>
  </si>
  <si>
    <t>Abone Bilgisi</t>
  </si>
  <si>
    <t>F. Tarihi</t>
  </si>
  <si>
    <t>Fatura Sayısı</t>
  </si>
  <si>
    <t>Kullanım M.</t>
  </si>
  <si>
    <t>Fatura Tutar</t>
  </si>
  <si>
    <t>GENEL TOPLAM</t>
  </si>
  <si>
    <t>Nisan</t>
  </si>
  <si>
    <t>Fatura Numarası</t>
  </si>
  <si>
    <t>Ocak</t>
  </si>
  <si>
    <t>ABONELİK TÜRÜNE BAĞLI AYLIK FATURA RAPORU</t>
  </si>
  <si>
    <t>GENEL TOPLAMLAR</t>
  </si>
  <si>
    <t>2025 NİSAN FATURA RAPORU</t>
  </si>
  <si>
    <t>ELEKTRİK ABONELİĞİ (100100289007) 2024 YILLIK FATURA RAPORU</t>
  </si>
  <si>
    <t>GEREDE KAYMAKAMLIĞI</t>
  </si>
  <si>
    <t>İlçe Milli Eğitim Müdürlüğü</t>
  </si>
  <si>
    <t>Gerede Fen Lisesi Müdürlüğü</t>
  </si>
  <si>
    <t>01.06.2026</t>
  </si>
  <si>
    <t>Gerede Fen Lisesi Müdürlüğü'ne 2024 yılında gelen tüm faturaların listesidir.</t>
  </si>
  <si>
    <t>04.02.2024</t>
  </si>
  <si>
    <t>KTE2024000009172</t>
  </si>
  <si>
    <t>KTE2024000009171</t>
  </si>
  <si>
    <t>KTE2024000009168</t>
  </si>
  <si>
    <t>31.01.2024</t>
  </si>
  <si>
    <t>E1V2024000006906</t>
  </si>
  <si>
    <t>E1V2024000006905</t>
  </si>
  <si>
    <t>Şubat</t>
  </si>
  <si>
    <t>04.03.2024</t>
  </si>
  <si>
    <t>KTE2024000015210</t>
  </si>
  <si>
    <t>KTE2024000015206</t>
  </si>
  <si>
    <t>KTE2024000015204</t>
  </si>
  <si>
    <t>29.02.2024</t>
  </si>
  <si>
    <t>E2T2024000014922</t>
  </si>
  <si>
    <t>E2T2024000014923</t>
  </si>
  <si>
    <t>Mart</t>
  </si>
  <si>
    <t>04.04.2024</t>
  </si>
  <si>
    <t>KTE2024000021460</t>
  </si>
  <si>
    <t>KTE2024000021461</t>
  </si>
  <si>
    <t>KTE2024000021463</t>
  </si>
  <si>
    <t>31.03.2024</t>
  </si>
  <si>
    <t>E3V2024000014010</t>
  </si>
  <si>
    <t>E3V2024000001864</t>
  </si>
  <si>
    <t>05.05.2024</t>
  </si>
  <si>
    <t>KTA2024000870829</t>
  </si>
  <si>
    <t>KTA2024000870779</t>
  </si>
  <si>
    <t>KTA2024000870778</t>
  </si>
  <si>
    <t>30.04.2024</t>
  </si>
  <si>
    <t>E4U2024000003433</t>
  </si>
  <si>
    <t>E4U2024000003434</t>
  </si>
  <si>
    <t>Mayıs</t>
  </si>
  <si>
    <t>04.06.2024</t>
  </si>
  <si>
    <t>KTE2024000033745</t>
  </si>
  <si>
    <t>KTE2024000033744</t>
  </si>
  <si>
    <t>KTE2024000033742</t>
  </si>
  <si>
    <t>Haziran</t>
  </si>
  <si>
    <t>04.07.2024</t>
  </si>
  <si>
    <t>KTE2024000039898</t>
  </si>
  <si>
    <t>KTE2024000039893</t>
  </si>
  <si>
    <t>30.06.2024</t>
  </si>
  <si>
    <t>E6U2024000003095</t>
  </si>
  <si>
    <t>E6U2024000003096</t>
  </si>
  <si>
    <t>Temmuz</t>
  </si>
  <si>
    <t>31.07.2024</t>
  </si>
  <si>
    <t>E7V2024000019095</t>
  </si>
  <si>
    <t>E7V2024000019096</t>
  </si>
  <si>
    <t>30.04.2025</t>
  </si>
  <si>
    <t>E4U2025000014068</t>
  </si>
  <si>
    <t>E4U2025000014070</t>
  </si>
  <si>
    <t>05.05.2025</t>
  </si>
  <si>
    <t>KTE2025000041298</t>
  </si>
  <si>
    <t>KTE2025000041299</t>
  </si>
  <si>
    <t>KTE2025000041297</t>
  </si>
  <si>
    <t/>
  </si>
  <si>
    <t>Gerede Fen Lisesi Müdürlüğü'ne 2025 Nisan ayında gelen tüm faturaların listesidir.</t>
  </si>
  <si>
    <t>04.02.2026</t>
  </si>
  <si>
    <t>KTE2026000016842</t>
  </si>
  <si>
    <t>KTE2026000016836</t>
  </si>
  <si>
    <t>KTE2026000016839</t>
  </si>
  <si>
    <t>Gerede Fen Lisesi Müdürlüğü'ne 2026 Ocak ayında gelen tüm Doğalgaz faturalarının listesidir.</t>
  </si>
  <si>
    <t>31.01.2026</t>
  </si>
  <si>
    <t>E1V2026000015522</t>
  </si>
  <si>
    <t>E1V2026000015523</t>
  </si>
  <si>
    <t>Gerede Fen Lisesi Müdürlüğü'ne 2026 yılında gelen tüm Elektrik faturalarının listesidir.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</si>
</sst>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sz val="2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shrinkToFit="1"/>
    </xf>
    <xf numFmtId="1" fontId="0" fillId="0" borderId="1" xfId="0" quotePrefix="1" applyNumberFormat="1" applyBorder="1" applyAlignment="1">
      <alignment horizontal="left" shrinkToFit="1"/>
    </xf>
    <xf numFmtId="164" fontId="0" fillId="0" borderId="1" xfId="0" applyNumberFormat="1" applyBorder="1" applyAlignment="1">
      <alignment horizontal="left" shrinkToFit="1"/>
    </xf>
    <xf numFmtId="2" fontId="0" fillId="0" borderId="1" xfId="0" applyNumberFormat="1" applyBorder="1" applyAlignment="1">
      <alignment horizontal="left" shrinkToFit="1"/>
    </xf>
    <xf numFmtId="0" fontId="0" fillId="0" borderId="2" xfId="0" applyBorder="1" applyAlignment="1">
      <alignment horizontal="left" shrinkToFit="1"/>
    </xf>
    <xf numFmtId="1" fontId="0" fillId="0" borderId="2" xfId="0" quotePrefix="1" applyNumberFormat="1" applyBorder="1" applyAlignment="1">
      <alignment horizontal="left" shrinkToFit="1"/>
    </xf>
    <xf numFmtId="164" fontId="0" fillId="0" borderId="2" xfId="0" applyNumberFormat="1" applyBorder="1" applyAlignment="1">
      <alignment horizontal="left" shrinkToFit="1"/>
    </xf>
    <xf numFmtId="2" fontId="0" fillId="0" borderId="2" xfId="0" applyNumberFormat="1" applyBorder="1" applyAlignment="1">
      <alignment horizontal="left" shrinkToFit="1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shrinkToFi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1" fontId="0" fillId="0" borderId="1" xfId="0" quotePrefix="1" applyNumberFormat="1" applyBorder="1" applyAlignment="1">
      <alignment horizontal="left" vertical="center" shrinkToFit="1"/>
    </xf>
    <xf numFmtId="1" fontId="0" fillId="0" borderId="1" xfId="0" applyNumberFormat="1" applyBorder="1" applyAlignment="1">
      <alignment horizontal="left" vertical="center" shrinkToFit="1"/>
    </xf>
    <xf numFmtId="164" fontId="0" fillId="0" borderId="1" xfId="0" applyNumberFormat="1" applyBorder="1" applyAlignment="1">
      <alignment horizontal="left" vertical="center" shrinkToFit="1"/>
    </xf>
    <xf numFmtId="2" fontId="0" fillId="0" borderId="1" xfId="0" applyNumberFormat="1" applyBorder="1" applyAlignment="1">
      <alignment horizontal="left" vertical="center" shrinkToFit="1"/>
    </xf>
    <xf numFmtId="0" fontId="0" fillId="0" borderId="1" xfId="0" applyBorder="1" applyAlignment="1">
      <alignment horizontal="right" vertical="center" shrinkToFit="1"/>
    </xf>
    <xf numFmtId="1" fontId="0" fillId="0" borderId="0" xfId="0" quotePrefix="1" applyNumberFormat="1" applyAlignment="1">
      <alignment horizontal="left" shrinkToFit="1"/>
    </xf>
    <xf numFmtId="164" fontId="0" fillId="0" borderId="0" xfId="0" applyNumberFormat="1" applyAlignment="1">
      <alignment horizontal="left" shrinkToFit="1"/>
    </xf>
    <xf numFmtId="2" fontId="0" fillId="0" borderId="0" xfId="0" applyNumberFormat="1" applyAlignment="1">
      <alignment horizontal="left" shrinkToFi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 shrinkToFit="1"/>
    </xf>
    <xf numFmtId="164" fontId="0" fillId="0" borderId="1" xfId="0" applyNumberFormat="1" applyBorder="1" applyAlignment="1">
      <alignment horizontal="center" vertical="center" shrinkToFit="1"/>
    </xf>
    <xf numFmtId="2" fontId="0" fillId="0" borderId="1" xfId="0" applyNumberForma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Compressed/format%20yedek%202-20260425T082544Z-3-002/format%20yedek%202/&#214;DEMELER/FATURALAR/FATURA%20TAK&#304;P.xlsm" TargetMode="External"/><Relationship Id="rId2" Type="http://schemas.openxmlformats.org/officeDocument/2006/relationships/externalLinkPath" Target="file:///C:\Users\Asus\Downloads\Compressed\format%20yedek%202-20260425T082544Z-3-002\format%20yedek%202\&#214;DEMELER\FATURALAR\FATURA%20TAK&#304;P.xlsm" TargetMode="External"/><Relationship Id="rId1" Type="http://schemas.openxmlformats.org/officeDocument/2006/relationships/externalLinkPath" Target="/Users/Asus/Downloads/Compressed/format%20yedek%202-20260425T082544Z-3-002/format%20yedek%202/&#214;DEMELER/FATURALAR/FATURA%20TAK&#304;P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yozgat.meb.gov.tr/belgeler/prog/Maa&#351;%20Ocak%20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F\Personel%20&#214;demeleri\&#220;cretli%20&#214;&#287;retmen%20&#214;demeleri\2022%20-%2009%20Eyl&#252;l%20Ay&#305;%20&#220;cretli%20&#214;&#287;retmen%20&#214;demesi\&#220;cretli%20&#214;&#287;retmen%20&#214;deme%20Program&#305;%20-%202021%20-%2009%20Eyl&#252;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turakaydet"/>
      <sheetName val="yillikfaturaraporu"/>
      <sheetName val="anamenu"/>
      <sheetName val="ayarlar"/>
      <sheetName val="faturalarlailgilinotlar"/>
      <sheetName val="evrakodeme"/>
      <sheetName val="faturalistesi"/>
      <sheetName val="teslimtesellum"/>
      <sheetName val="firmabilgileri"/>
      <sheetName val="kurumbilgileri"/>
      <sheetName val="faturaraporlari"/>
      <sheetName val="abonelikyillikfaturalar"/>
      <sheetName val="aylikfaturalar"/>
      <sheetName val="parametreler"/>
      <sheetName val="abonelikaylikfaturalar"/>
      <sheetName val="abonelikturuyillikfaturalar"/>
    </sheetNames>
    <definedNames>
      <definedName name="abonelikaylikfaturalarcikis"/>
      <definedName name="abonelikturuyillikfaturalarcikis"/>
      <definedName name="abonelikyillikfaturalarcikis"/>
      <definedName name="aylikfaturalarcikis"/>
      <definedName name="yillikfaturalarcikis"/>
    </definedNames>
    <sheetDataSet>
      <sheetData sheetId="0">
        <row r="31">
          <cell r="BW31" t="str">
            <v>Yıllık Fatura Sayımı</v>
          </cell>
          <cell r="BY31" t="str">
            <v>Tek</v>
          </cell>
          <cell r="CA31" t="str">
            <v>Yıl</v>
          </cell>
          <cell r="CB31" t="str">
            <v>Ay</v>
          </cell>
          <cell r="CC31" t="str">
            <v>Abonelik Bilgisi</v>
          </cell>
          <cell r="CD31" t="str">
            <v>Fatura Tarihi</v>
          </cell>
          <cell r="CE31" t="str">
            <v>Son Ö. Tarihi</v>
          </cell>
          <cell r="CF31" t="str">
            <v>Fatura Sayısı</v>
          </cell>
          <cell r="CG31" t="str">
            <v>Tutar</v>
          </cell>
          <cell r="CH31" t="str">
            <v>K. Miktarı</v>
          </cell>
          <cell r="CI31" t="str">
            <v>Ödeme
Bildirim</v>
          </cell>
          <cell r="CJ31" t="str">
            <v>ÖEB NO</v>
          </cell>
          <cell r="CK31" t="str">
            <v>ÖDEME TARİHİ</v>
          </cell>
        </row>
        <row r="32">
          <cell r="BW32" t="str">
            <v>12023</v>
          </cell>
          <cell r="BX32" t="str">
            <v>2023Aralık165544</v>
          </cell>
          <cell r="BY32" t="str">
            <v>Çift</v>
          </cell>
          <cell r="CA32">
            <v>2023</v>
          </cell>
          <cell r="CB32" t="str">
            <v>Aralık</v>
          </cell>
          <cell r="CC32">
            <v>165544</v>
          </cell>
          <cell r="CD32">
            <v>45296</v>
          </cell>
          <cell r="CE32">
            <v>45306</v>
          </cell>
          <cell r="CF32" t="str">
            <v>KTE2024000002829</v>
          </cell>
          <cell r="CG32">
            <v>89325.01</v>
          </cell>
          <cell r="CH32">
            <v>7252.19</v>
          </cell>
          <cell r="CI32" t="str">
            <v>Yapıldı</v>
          </cell>
          <cell r="CJ32" t="str">
            <v>HYS-2024-8372271</v>
          </cell>
          <cell r="CK32">
            <v>45303</v>
          </cell>
        </row>
        <row r="33">
          <cell r="BW33" t="str">
            <v>22023</v>
          </cell>
          <cell r="BX33" t="str">
            <v>2023Aralık167440</v>
          </cell>
          <cell r="BY33" t="str">
            <v>Tek</v>
          </cell>
          <cell r="CA33">
            <v>2023</v>
          </cell>
          <cell r="CB33" t="str">
            <v>Aralık</v>
          </cell>
          <cell r="CC33">
            <v>167440</v>
          </cell>
          <cell r="CD33">
            <v>45296</v>
          </cell>
          <cell r="CE33">
            <v>45306</v>
          </cell>
          <cell r="CF33" t="str">
            <v>KTE2024000002827</v>
          </cell>
          <cell r="CG33">
            <v>87401.5</v>
          </cell>
          <cell r="CH33">
            <v>7095.81</v>
          </cell>
          <cell r="CI33" t="str">
            <v>Yapıldı</v>
          </cell>
          <cell r="CJ33" t="str">
            <v>HYS-2024-8372271</v>
          </cell>
          <cell r="CK33">
            <v>45303</v>
          </cell>
        </row>
        <row r="34">
          <cell r="BW34" t="str">
            <v>32023</v>
          </cell>
          <cell r="BX34" t="str">
            <v>2023Aralık194975</v>
          </cell>
          <cell r="BY34" t="str">
            <v>Çift</v>
          </cell>
          <cell r="CA34">
            <v>2023</v>
          </cell>
          <cell r="CB34" t="str">
            <v>Aralık</v>
          </cell>
          <cell r="CC34">
            <v>194975</v>
          </cell>
          <cell r="CD34">
            <v>45296</v>
          </cell>
          <cell r="CE34">
            <v>45306</v>
          </cell>
          <cell r="CF34" t="str">
            <v>KTE2024000002826</v>
          </cell>
          <cell r="CG34">
            <v>2184.17</v>
          </cell>
          <cell r="CH34">
            <v>177.33</v>
          </cell>
          <cell r="CI34" t="str">
            <v>Yapıldı</v>
          </cell>
          <cell r="CJ34" t="str">
            <v>HYS-2024-8372271</v>
          </cell>
          <cell r="CK34">
            <v>45303</v>
          </cell>
        </row>
        <row r="35">
          <cell r="BW35" t="str">
            <v>12024</v>
          </cell>
          <cell r="BX35" t="str">
            <v>2024Ocak165544</v>
          </cell>
          <cell r="BY35" t="str">
            <v>Tek</v>
          </cell>
          <cell r="CA35">
            <v>2024</v>
          </cell>
          <cell r="CB35" t="str">
            <v>Ocak</v>
          </cell>
          <cell r="CC35">
            <v>165544</v>
          </cell>
          <cell r="CD35">
            <v>45326</v>
          </cell>
          <cell r="CE35">
            <v>45336</v>
          </cell>
          <cell r="CF35" t="str">
            <v>KTE2024000009172</v>
          </cell>
          <cell r="CG35">
            <v>78981.740000000005</v>
          </cell>
          <cell r="CH35">
            <v>6359.56</v>
          </cell>
          <cell r="CI35" t="str">
            <v>Yapıldı</v>
          </cell>
        </row>
        <row r="36">
          <cell r="BW36" t="str">
            <v>22024</v>
          </cell>
          <cell r="BX36" t="str">
            <v>2024Ocak167440</v>
          </cell>
          <cell r="BY36" t="str">
            <v>Çift</v>
          </cell>
          <cell r="CA36">
            <v>2024</v>
          </cell>
          <cell r="CB36" t="str">
            <v>Ocak</v>
          </cell>
          <cell r="CC36">
            <v>167440</v>
          </cell>
          <cell r="CD36">
            <v>45326</v>
          </cell>
          <cell r="CE36">
            <v>45336</v>
          </cell>
          <cell r="CF36" t="str">
            <v>KTE2024000009171</v>
          </cell>
          <cell r="CG36">
            <v>92804.65</v>
          </cell>
          <cell r="CH36">
            <v>7474.54</v>
          </cell>
          <cell r="CI36" t="str">
            <v>Yapıldı</v>
          </cell>
        </row>
        <row r="37">
          <cell r="BW37" t="str">
            <v>32024</v>
          </cell>
          <cell r="BX37" t="str">
            <v>2024Ocak194975</v>
          </cell>
          <cell r="BY37" t="str">
            <v>Tek</v>
          </cell>
          <cell r="CA37">
            <v>2024</v>
          </cell>
          <cell r="CB37" t="str">
            <v>Ocak</v>
          </cell>
          <cell r="CC37">
            <v>194975</v>
          </cell>
          <cell r="CD37">
            <v>45326</v>
          </cell>
          <cell r="CE37">
            <v>45336</v>
          </cell>
          <cell r="CF37" t="str">
            <v>KTE2024000009168</v>
          </cell>
          <cell r="CG37">
            <v>840.49</v>
          </cell>
          <cell r="CH37">
            <v>67.540000000000006</v>
          </cell>
          <cell r="CI37" t="str">
            <v>Yapıldı</v>
          </cell>
        </row>
        <row r="38">
          <cell r="BW38" t="str">
            <v>42024</v>
          </cell>
          <cell r="BX38" t="str">
            <v>2024Ocak100100289007</v>
          </cell>
          <cell r="BY38" t="str">
            <v>Çift</v>
          </cell>
          <cell r="CA38">
            <v>2024</v>
          </cell>
          <cell r="CB38" t="str">
            <v>Ocak</v>
          </cell>
          <cell r="CC38">
            <v>100100289007</v>
          </cell>
          <cell r="CD38">
            <v>45322</v>
          </cell>
          <cell r="CE38">
            <v>45351</v>
          </cell>
          <cell r="CF38" t="str">
            <v>E1V2024000006906</v>
          </cell>
          <cell r="CG38">
            <v>11858.66</v>
          </cell>
          <cell r="CH38">
            <v>2800.64</v>
          </cell>
          <cell r="CI38" t="str">
            <v>Yapıldı</v>
          </cell>
        </row>
        <row r="39">
          <cell r="BW39" t="str">
            <v>52024</v>
          </cell>
          <cell r="BX39" t="str">
            <v>2024Ocak100100289037</v>
          </cell>
          <cell r="BY39" t="str">
            <v>Tek</v>
          </cell>
          <cell r="CA39">
            <v>2024</v>
          </cell>
          <cell r="CB39" t="str">
            <v>Ocak</v>
          </cell>
          <cell r="CC39">
            <v>100100289037</v>
          </cell>
          <cell r="CD39">
            <v>45322</v>
          </cell>
          <cell r="CE39">
            <v>45351</v>
          </cell>
          <cell r="CF39" t="str">
            <v>E1V2024000006905</v>
          </cell>
          <cell r="CG39">
            <v>13089.9</v>
          </cell>
          <cell r="CH39">
            <v>3067.28</v>
          </cell>
          <cell r="CI39" t="str">
            <v>Yapıldı</v>
          </cell>
        </row>
        <row r="40">
          <cell r="BW40" t="str">
            <v>62024</v>
          </cell>
          <cell r="BX40" t="str">
            <v>2024Şubat165544</v>
          </cell>
          <cell r="BY40" t="str">
            <v>Çift</v>
          </cell>
          <cell r="CA40">
            <v>2024</v>
          </cell>
          <cell r="CB40" t="str">
            <v>Şubat</v>
          </cell>
          <cell r="CC40">
            <v>165544</v>
          </cell>
          <cell r="CD40">
            <v>45355</v>
          </cell>
          <cell r="CE40">
            <v>45365</v>
          </cell>
          <cell r="CF40" t="str">
            <v>KTE2024000015210</v>
          </cell>
          <cell r="CG40">
            <v>86989.61</v>
          </cell>
          <cell r="CH40">
            <v>6975.92</v>
          </cell>
          <cell r="CI40" t="str">
            <v>Yapıldı</v>
          </cell>
        </row>
        <row r="41">
          <cell r="BW41" t="str">
            <v>72024</v>
          </cell>
          <cell r="BX41" t="str">
            <v>2024Şubat167440</v>
          </cell>
          <cell r="BY41" t="str">
            <v>Tek</v>
          </cell>
          <cell r="CA41">
            <v>2024</v>
          </cell>
          <cell r="CB41" t="str">
            <v>Şubat</v>
          </cell>
          <cell r="CC41">
            <v>167440</v>
          </cell>
          <cell r="CD41">
            <v>45355</v>
          </cell>
          <cell r="CE41">
            <v>45365</v>
          </cell>
          <cell r="CF41" t="str">
            <v>KTE2024000015206</v>
          </cell>
          <cell r="CG41">
            <v>92328.93</v>
          </cell>
          <cell r="CH41">
            <v>7404.1</v>
          </cell>
          <cell r="CI41" t="str">
            <v>Yapıldı</v>
          </cell>
        </row>
        <row r="42">
          <cell r="BW42" t="str">
            <v>82024</v>
          </cell>
          <cell r="BX42" t="str">
            <v>2024Şubat194975</v>
          </cell>
          <cell r="BY42" t="str">
            <v>Çift</v>
          </cell>
          <cell r="CA42">
            <v>2024</v>
          </cell>
          <cell r="CB42" t="str">
            <v>Şubat</v>
          </cell>
          <cell r="CC42">
            <v>194975</v>
          </cell>
          <cell r="CD42">
            <v>45355</v>
          </cell>
          <cell r="CE42">
            <v>45365</v>
          </cell>
          <cell r="CF42" t="str">
            <v>KTE2024000015204</v>
          </cell>
          <cell r="CG42">
            <v>1851.17</v>
          </cell>
          <cell r="CH42">
            <v>148.44999999999999</v>
          </cell>
          <cell r="CI42" t="str">
            <v>Yapıldı</v>
          </cell>
        </row>
        <row r="43">
          <cell r="BW43" t="str">
            <v>92024</v>
          </cell>
          <cell r="BX43" t="str">
            <v>2024Şubat100100289007</v>
          </cell>
          <cell r="BY43" t="str">
            <v>Tek</v>
          </cell>
          <cell r="CA43">
            <v>2024</v>
          </cell>
          <cell r="CB43" t="str">
            <v>Şubat</v>
          </cell>
          <cell r="CC43">
            <v>100100289007</v>
          </cell>
          <cell r="CD43">
            <v>45351</v>
          </cell>
          <cell r="CE43">
            <v>45383</v>
          </cell>
          <cell r="CF43" t="str">
            <v>E2T2024000014922</v>
          </cell>
          <cell r="CG43">
            <v>12663.61</v>
          </cell>
          <cell r="CH43">
            <v>2934.56</v>
          </cell>
          <cell r="CI43" t="str">
            <v>Yapıldı</v>
          </cell>
        </row>
        <row r="44">
          <cell r="BW44" t="str">
            <v>102024</v>
          </cell>
          <cell r="BX44" t="str">
            <v>2024Şubat100100289037</v>
          </cell>
          <cell r="BY44" t="str">
            <v>Çift</v>
          </cell>
          <cell r="CA44">
            <v>2024</v>
          </cell>
          <cell r="CB44" t="str">
            <v>Şubat</v>
          </cell>
          <cell r="CC44">
            <v>100100289037</v>
          </cell>
          <cell r="CD44">
            <v>45351</v>
          </cell>
          <cell r="CE44">
            <v>45383</v>
          </cell>
          <cell r="CF44" t="str">
            <v>E2T2024000014923</v>
          </cell>
          <cell r="CG44">
            <v>15973.33</v>
          </cell>
          <cell r="CH44">
            <v>3635.04</v>
          </cell>
          <cell r="CI44" t="str">
            <v>Yapıldı</v>
          </cell>
        </row>
        <row r="45">
          <cell r="BW45" t="str">
            <v>112024</v>
          </cell>
          <cell r="BX45" t="str">
            <v>2024Mart167440</v>
          </cell>
          <cell r="BY45" t="str">
            <v>Tek</v>
          </cell>
          <cell r="CA45">
            <v>2024</v>
          </cell>
          <cell r="CB45" t="str">
            <v>Mart</v>
          </cell>
          <cell r="CC45">
            <v>167440</v>
          </cell>
          <cell r="CD45">
            <v>45386</v>
          </cell>
          <cell r="CE45">
            <v>45397</v>
          </cell>
          <cell r="CF45" t="str">
            <v>KTE2024000021460</v>
          </cell>
          <cell r="CG45">
            <v>92505.88</v>
          </cell>
          <cell r="CH45">
            <v>7339.84</v>
          </cell>
          <cell r="CI45" t="str">
            <v>Yapıldı</v>
          </cell>
        </row>
        <row r="46">
          <cell r="BW46" t="str">
            <v>122024</v>
          </cell>
          <cell r="BX46" t="str">
            <v>2024Mart194975</v>
          </cell>
          <cell r="BY46" t="str">
            <v>Çift</v>
          </cell>
          <cell r="CA46">
            <v>2024</v>
          </cell>
          <cell r="CB46" t="str">
            <v>Mart</v>
          </cell>
          <cell r="CC46">
            <v>194975</v>
          </cell>
          <cell r="CD46">
            <v>45386</v>
          </cell>
          <cell r="CE46">
            <v>45397</v>
          </cell>
          <cell r="CF46" t="str">
            <v>KTE2024000021461</v>
          </cell>
          <cell r="CG46">
            <v>2481.5300000000002</v>
          </cell>
          <cell r="CH46">
            <v>196.9</v>
          </cell>
          <cell r="CI46" t="str">
            <v>Yapıldı</v>
          </cell>
        </row>
        <row r="47">
          <cell r="BW47" t="str">
            <v>132024</v>
          </cell>
          <cell r="BX47" t="str">
            <v>2024Mart165544</v>
          </cell>
          <cell r="BY47" t="str">
            <v>Tek</v>
          </cell>
          <cell r="CA47">
            <v>2024</v>
          </cell>
          <cell r="CB47" t="str">
            <v>Mart</v>
          </cell>
          <cell r="CC47">
            <v>165544</v>
          </cell>
          <cell r="CD47">
            <v>45386</v>
          </cell>
          <cell r="CE47">
            <v>45397</v>
          </cell>
          <cell r="CF47" t="str">
            <v>KTE2024000021463</v>
          </cell>
          <cell r="CG47">
            <v>89580.12</v>
          </cell>
          <cell r="CH47">
            <v>7107.7</v>
          </cell>
          <cell r="CI47" t="str">
            <v>Yapıldı</v>
          </cell>
        </row>
        <row r="48">
          <cell r="BW48" t="str">
            <v>142024</v>
          </cell>
          <cell r="BX48" t="str">
            <v>2024Mart100100289007</v>
          </cell>
          <cell r="BY48" t="str">
            <v>Çift</v>
          </cell>
          <cell r="CA48">
            <v>2024</v>
          </cell>
          <cell r="CB48" t="str">
            <v>Mart</v>
          </cell>
          <cell r="CC48">
            <v>100100289007</v>
          </cell>
          <cell r="CD48">
            <v>45382</v>
          </cell>
          <cell r="CE48">
            <v>45412</v>
          </cell>
          <cell r="CF48" t="str">
            <v>E3V2024000014010</v>
          </cell>
          <cell r="CG48">
            <v>11735.29</v>
          </cell>
          <cell r="CH48">
            <v>2773.92</v>
          </cell>
          <cell r="CI48" t="str">
            <v>Yapıldı</v>
          </cell>
        </row>
        <row r="49">
          <cell r="BW49" t="str">
            <v>152024</v>
          </cell>
          <cell r="BX49" t="str">
            <v>2024Mart100100289037</v>
          </cell>
          <cell r="BY49" t="str">
            <v>Tek</v>
          </cell>
          <cell r="CA49">
            <v>2024</v>
          </cell>
          <cell r="CB49" t="str">
            <v>Mart</v>
          </cell>
          <cell r="CC49">
            <v>100100289037</v>
          </cell>
          <cell r="CD49">
            <v>45382</v>
          </cell>
          <cell r="CE49">
            <v>45412</v>
          </cell>
          <cell r="CF49" t="str">
            <v>E3V2024000001864</v>
          </cell>
          <cell r="CG49">
            <v>20433.02</v>
          </cell>
          <cell r="CH49">
            <v>4657.5200000000004</v>
          </cell>
          <cell r="CI49" t="str">
            <v>Yapıldı</v>
          </cell>
        </row>
        <row r="50">
          <cell r="BW50" t="str">
            <v>162024</v>
          </cell>
          <cell r="BX50" t="str">
            <v>2024Nisan165544</v>
          </cell>
          <cell r="BY50" t="str">
            <v>Çift</v>
          </cell>
          <cell r="CA50">
            <v>2024</v>
          </cell>
          <cell r="CB50" t="str">
            <v>Nisan</v>
          </cell>
          <cell r="CC50">
            <v>165544</v>
          </cell>
          <cell r="CD50">
            <v>45417</v>
          </cell>
          <cell r="CE50">
            <v>45427</v>
          </cell>
          <cell r="CF50" t="str">
            <v>KTA2024000870829</v>
          </cell>
          <cell r="CG50">
            <v>51551.66</v>
          </cell>
          <cell r="CH50">
            <v>4058.35</v>
          </cell>
          <cell r="CI50" t="str">
            <v>Yapıldı</v>
          </cell>
        </row>
        <row r="51">
          <cell r="BW51" t="str">
            <v>172024</v>
          </cell>
          <cell r="BX51" t="str">
            <v>2024Nisan167440</v>
          </cell>
          <cell r="BY51" t="str">
            <v>Tek</v>
          </cell>
          <cell r="CA51">
            <v>2024</v>
          </cell>
          <cell r="CB51" t="str">
            <v>Nisan</v>
          </cell>
          <cell r="CC51">
            <v>167440</v>
          </cell>
          <cell r="CD51">
            <v>45417</v>
          </cell>
          <cell r="CE51">
            <v>45427</v>
          </cell>
          <cell r="CF51" t="str">
            <v>KTA2024000870779</v>
          </cell>
          <cell r="CG51">
            <v>25791.1</v>
          </cell>
          <cell r="CH51">
            <v>2030.38</v>
          </cell>
          <cell r="CI51" t="str">
            <v>Yapıldı</v>
          </cell>
        </row>
        <row r="52">
          <cell r="BW52" t="str">
            <v>182024</v>
          </cell>
          <cell r="BX52" t="str">
            <v>2024Nisan194975</v>
          </cell>
          <cell r="BY52" t="str">
            <v>Çift</v>
          </cell>
          <cell r="CA52">
            <v>2024</v>
          </cell>
          <cell r="CB52" t="str">
            <v>Nisan</v>
          </cell>
          <cell r="CC52">
            <v>194975</v>
          </cell>
          <cell r="CD52">
            <v>45417</v>
          </cell>
          <cell r="CE52">
            <v>45427</v>
          </cell>
          <cell r="CF52" t="str">
            <v>KTA2024000870778</v>
          </cell>
          <cell r="CG52">
            <v>1403.36</v>
          </cell>
          <cell r="CH52">
            <v>109.39</v>
          </cell>
          <cell r="CI52" t="str">
            <v>Yapıldı</v>
          </cell>
        </row>
        <row r="53">
          <cell r="BW53" t="str">
            <v>192024</v>
          </cell>
          <cell r="BX53" t="str">
            <v>2024Nisan100100289007</v>
          </cell>
          <cell r="BY53" t="str">
            <v>Tek</v>
          </cell>
          <cell r="CA53">
            <v>2024</v>
          </cell>
          <cell r="CB53" t="str">
            <v>Nisan</v>
          </cell>
          <cell r="CC53">
            <v>100100289007</v>
          </cell>
          <cell r="CD53">
            <v>45412</v>
          </cell>
          <cell r="CE53">
            <v>45443</v>
          </cell>
          <cell r="CF53" t="str">
            <v>E4U2024000003433</v>
          </cell>
          <cell r="CG53">
            <v>8259.06</v>
          </cell>
          <cell r="CH53">
            <v>2013.6</v>
          </cell>
          <cell r="CI53" t="str">
            <v>Yapıldı</v>
          </cell>
        </row>
        <row r="54">
          <cell r="BW54" t="str">
            <v>202024</v>
          </cell>
          <cell r="BX54" t="str">
            <v>2024Nisan100100289037</v>
          </cell>
          <cell r="BY54" t="str">
            <v>Çift</v>
          </cell>
          <cell r="CA54">
            <v>2024</v>
          </cell>
          <cell r="CB54" t="str">
            <v>Nisan</v>
          </cell>
          <cell r="CC54">
            <v>100100289037</v>
          </cell>
          <cell r="CD54">
            <v>45412</v>
          </cell>
          <cell r="CE54">
            <v>45443</v>
          </cell>
          <cell r="CF54" t="str">
            <v>E4U2024000003434</v>
          </cell>
          <cell r="CG54">
            <v>12141.18</v>
          </cell>
          <cell r="CH54">
            <v>2854.32</v>
          </cell>
          <cell r="CI54" t="str">
            <v>Yapıldı</v>
          </cell>
        </row>
        <row r="55">
          <cell r="BW55" t="str">
            <v>212024</v>
          </cell>
          <cell r="BX55" t="str">
            <v>2024Mayıs165544</v>
          </cell>
          <cell r="BY55" t="str">
            <v>Tek</v>
          </cell>
          <cell r="CA55">
            <v>2024</v>
          </cell>
          <cell r="CB55" t="str">
            <v>Mayıs</v>
          </cell>
          <cell r="CC55">
            <v>165544</v>
          </cell>
          <cell r="CD55">
            <v>45447</v>
          </cell>
          <cell r="CE55">
            <v>45457</v>
          </cell>
          <cell r="CF55" t="str">
            <v>KTE2024000033745</v>
          </cell>
          <cell r="CG55">
            <v>55895.29</v>
          </cell>
          <cell r="CH55">
            <v>4375.62</v>
          </cell>
          <cell r="CI55" t="str">
            <v>Yapıldı</v>
          </cell>
        </row>
        <row r="56">
          <cell r="BW56" t="str">
            <v>222024</v>
          </cell>
          <cell r="BX56" t="str">
            <v>2024Mayıs167440</v>
          </cell>
          <cell r="BY56" t="str">
            <v>Çift</v>
          </cell>
          <cell r="CA56">
            <v>2024</v>
          </cell>
          <cell r="CB56" t="str">
            <v>Mayıs</v>
          </cell>
          <cell r="CC56">
            <v>167440</v>
          </cell>
          <cell r="CD56">
            <v>45447</v>
          </cell>
          <cell r="CE56">
            <v>45457</v>
          </cell>
          <cell r="CF56" t="str">
            <v>KTE2024000033744</v>
          </cell>
          <cell r="CG56">
            <v>53852</v>
          </cell>
          <cell r="CH56">
            <v>4215.67</v>
          </cell>
          <cell r="CI56" t="str">
            <v>Yapıldı</v>
          </cell>
        </row>
        <row r="57">
          <cell r="BW57" t="str">
            <v>232024</v>
          </cell>
          <cell r="BX57" t="str">
            <v>2024Mayıs194975</v>
          </cell>
          <cell r="BY57" t="str">
            <v>Tek</v>
          </cell>
          <cell r="CA57">
            <v>2024</v>
          </cell>
          <cell r="CB57" t="str">
            <v>Mayıs</v>
          </cell>
          <cell r="CC57">
            <v>194975</v>
          </cell>
          <cell r="CD57">
            <v>45447</v>
          </cell>
          <cell r="CE57">
            <v>45457</v>
          </cell>
          <cell r="CF57" t="str">
            <v>KTE2024000033742</v>
          </cell>
          <cell r="CG57">
            <v>1770.84</v>
          </cell>
          <cell r="CH57">
            <v>138.63</v>
          </cell>
          <cell r="CI57" t="str">
            <v>Yapıldı</v>
          </cell>
        </row>
        <row r="58">
          <cell r="BW58" t="str">
            <v>242024</v>
          </cell>
          <cell r="BX58" t="str">
            <v>2024Haziran165544</v>
          </cell>
          <cell r="BY58" t="str">
            <v>Çift</v>
          </cell>
          <cell r="CA58">
            <v>2024</v>
          </cell>
          <cell r="CB58" t="str">
            <v>Haziran</v>
          </cell>
          <cell r="CC58">
            <v>165544</v>
          </cell>
          <cell r="CD58">
            <v>45477</v>
          </cell>
          <cell r="CE58">
            <v>45489</v>
          </cell>
          <cell r="CF58" t="str">
            <v>KTE2024000039898</v>
          </cell>
          <cell r="CG58">
            <v>2405.4699999999998</v>
          </cell>
          <cell r="CH58">
            <v>187.16</v>
          </cell>
          <cell r="CI58" t="str">
            <v>Yapıldı</v>
          </cell>
        </row>
        <row r="59">
          <cell r="BW59" t="str">
            <v>252024</v>
          </cell>
          <cell r="BX59" t="str">
            <v>2024Haziran194975</v>
          </cell>
          <cell r="BY59" t="str">
            <v>Tek</v>
          </cell>
          <cell r="CA59">
            <v>2024</v>
          </cell>
          <cell r="CB59" t="str">
            <v>Haziran</v>
          </cell>
          <cell r="CC59">
            <v>194975</v>
          </cell>
          <cell r="CD59">
            <v>45477</v>
          </cell>
          <cell r="CE59">
            <v>45489</v>
          </cell>
          <cell r="CF59" t="str">
            <v>KTE2024000039893</v>
          </cell>
          <cell r="CG59">
            <v>448.22</v>
          </cell>
          <cell r="CH59">
            <v>34.869999999999997</v>
          </cell>
          <cell r="CI59" t="str">
            <v>Yapıldı</v>
          </cell>
        </row>
        <row r="60">
          <cell r="BW60" t="str">
            <v>262024</v>
          </cell>
          <cell r="BX60" t="str">
            <v>2024Haziran100100289007</v>
          </cell>
          <cell r="BY60" t="str">
            <v>Çift</v>
          </cell>
          <cell r="CA60">
            <v>2024</v>
          </cell>
          <cell r="CB60" t="str">
            <v>Haziran</v>
          </cell>
          <cell r="CC60">
            <v>100100289007</v>
          </cell>
          <cell r="CD60">
            <v>45473</v>
          </cell>
          <cell r="CE60">
            <v>46599</v>
          </cell>
          <cell r="CF60" t="str">
            <v>E6U2024000003095</v>
          </cell>
          <cell r="CG60">
            <v>3624.47</v>
          </cell>
          <cell r="CH60">
            <v>1009.92</v>
          </cell>
          <cell r="CI60" t="str">
            <v>Yapıldı</v>
          </cell>
        </row>
        <row r="61">
          <cell r="BW61" t="str">
            <v>272024</v>
          </cell>
          <cell r="BX61" t="str">
            <v>2024Haziran100100289037</v>
          </cell>
          <cell r="BY61" t="str">
            <v>Tek</v>
          </cell>
          <cell r="CA61">
            <v>2024</v>
          </cell>
          <cell r="CB61" t="str">
            <v>Haziran</v>
          </cell>
          <cell r="CC61">
            <v>100100289037</v>
          </cell>
          <cell r="CD61">
            <v>45473</v>
          </cell>
          <cell r="CE61">
            <v>45504</v>
          </cell>
          <cell r="CF61" t="str">
            <v>E6U2024000003096</v>
          </cell>
          <cell r="CG61">
            <v>5995.33</v>
          </cell>
          <cell r="CH61">
            <v>1523.36</v>
          </cell>
          <cell r="CI61" t="str">
            <v>Yapıldı</v>
          </cell>
        </row>
        <row r="62">
          <cell r="BW62" t="str">
            <v>282024</v>
          </cell>
          <cell r="BX62" t="str">
            <v>2024Temmuz100100289007</v>
          </cell>
          <cell r="BY62" t="str">
            <v>Çift</v>
          </cell>
          <cell r="CA62">
            <v>2024</v>
          </cell>
          <cell r="CB62" t="str">
            <v>Temmuz</v>
          </cell>
          <cell r="CC62">
            <v>100100289007</v>
          </cell>
          <cell r="CD62">
            <v>45504</v>
          </cell>
          <cell r="CE62">
            <v>45537</v>
          </cell>
          <cell r="CF62" t="str">
            <v>E7V2024000019095</v>
          </cell>
          <cell r="CG62">
            <v>3048.77</v>
          </cell>
          <cell r="CH62">
            <v>637.91999999999996</v>
          </cell>
          <cell r="CI62" t="str">
            <v>Yapıldı</v>
          </cell>
        </row>
        <row r="63">
          <cell r="BW63" t="str">
            <v>292024</v>
          </cell>
          <cell r="BX63" t="str">
            <v>2024Temmuz100100289037</v>
          </cell>
          <cell r="BY63" t="str">
            <v>Tek</v>
          </cell>
          <cell r="CA63">
            <v>2024</v>
          </cell>
          <cell r="CB63" t="str">
            <v>Temmuz</v>
          </cell>
          <cell r="CC63">
            <v>100100289037</v>
          </cell>
          <cell r="CD63">
            <v>45504</v>
          </cell>
          <cell r="CE63">
            <v>45537</v>
          </cell>
          <cell r="CF63" t="str">
            <v>E7V2024000019096</v>
          </cell>
          <cell r="CG63">
            <v>1141.67</v>
          </cell>
          <cell r="CH63">
            <v>238.88</v>
          </cell>
          <cell r="CI63" t="str">
            <v>Yapıldı</v>
          </cell>
        </row>
        <row r="64">
          <cell r="BW64" t="str">
            <v>12025</v>
          </cell>
          <cell r="BX64" t="str">
            <v>2025Mart165544</v>
          </cell>
          <cell r="BY64" t="str">
            <v>Çift</v>
          </cell>
          <cell r="CA64">
            <v>2025</v>
          </cell>
          <cell r="CB64" t="str">
            <v>Mart</v>
          </cell>
          <cell r="CC64">
            <v>165544</v>
          </cell>
          <cell r="CD64">
            <v>45752</v>
          </cell>
          <cell r="CE64">
            <v>45762</v>
          </cell>
          <cell r="CF64" t="str">
            <v>KTE2025000031935</v>
          </cell>
          <cell r="CG64">
            <v>79619.95</v>
          </cell>
          <cell r="CH64">
            <v>48399.199999999997</v>
          </cell>
          <cell r="CI64" t="str">
            <v>Yapıldı</v>
          </cell>
        </row>
        <row r="65">
          <cell r="BW65" t="str">
            <v>22025</v>
          </cell>
          <cell r="BX65" t="str">
            <v>2025Mart167440</v>
          </cell>
          <cell r="BY65" t="str">
            <v>Tek</v>
          </cell>
          <cell r="CA65">
            <v>2025</v>
          </cell>
          <cell r="CB65" t="str">
            <v>Mart</v>
          </cell>
          <cell r="CC65">
            <v>167440</v>
          </cell>
          <cell r="CD65">
            <v>45752</v>
          </cell>
          <cell r="CE65">
            <v>45762</v>
          </cell>
          <cell r="CF65" t="str">
            <v>KTE2025000031927</v>
          </cell>
          <cell r="CG65">
            <v>57518.73</v>
          </cell>
          <cell r="CH65">
            <v>35052.480000000003</v>
          </cell>
          <cell r="CI65" t="str">
            <v>Yapıldı</v>
          </cell>
        </row>
        <row r="66">
          <cell r="BW66" t="str">
            <v>32025</v>
          </cell>
          <cell r="BX66" t="str">
            <v>2025Mart194975</v>
          </cell>
          <cell r="BY66" t="str">
            <v>Çift</v>
          </cell>
          <cell r="CA66">
            <v>2025</v>
          </cell>
          <cell r="CB66" t="str">
            <v>Mart</v>
          </cell>
          <cell r="CC66">
            <v>194975</v>
          </cell>
          <cell r="CD66">
            <v>45752</v>
          </cell>
          <cell r="CE66">
            <v>45762</v>
          </cell>
          <cell r="CF66" t="str">
            <v>KTE2025000031928</v>
          </cell>
          <cell r="CG66">
            <v>2637.07</v>
          </cell>
          <cell r="CH66">
            <v>1654.13</v>
          </cell>
          <cell r="CI66" t="str">
            <v>Yapıldı</v>
          </cell>
        </row>
        <row r="67">
          <cell r="BW67" t="str">
            <v>42025</v>
          </cell>
          <cell r="BX67" t="str">
            <v>2025Mart100100289007</v>
          </cell>
          <cell r="BY67" t="str">
            <v>Tek</v>
          </cell>
          <cell r="CA67">
            <v>2025</v>
          </cell>
          <cell r="CB67" t="str">
            <v>Mart</v>
          </cell>
          <cell r="CC67">
            <v>100100289007</v>
          </cell>
          <cell r="CD67">
            <v>45747</v>
          </cell>
          <cell r="CE67">
            <v>45762</v>
          </cell>
          <cell r="CF67" t="str">
            <v>E3V2025000015310</v>
          </cell>
          <cell r="CG67">
            <v>22328.05</v>
          </cell>
          <cell r="CH67">
            <v>4176.58</v>
          </cell>
          <cell r="CI67" t="str">
            <v>Yapıldı</v>
          </cell>
        </row>
        <row r="68">
          <cell r="BW68" t="str">
            <v>52025</v>
          </cell>
          <cell r="BX68" t="str">
            <v>2025Mart100100289037</v>
          </cell>
          <cell r="BY68" t="str">
            <v>Çift</v>
          </cell>
          <cell r="CA68">
            <v>2025</v>
          </cell>
          <cell r="CB68" t="str">
            <v>Mart</v>
          </cell>
          <cell r="CC68">
            <v>100100289037</v>
          </cell>
          <cell r="CD68">
            <v>45747</v>
          </cell>
          <cell r="CE68">
            <v>45762</v>
          </cell>
          <cell r="CF68" t="str">
            <v>E3V2025000015309</v>
          </cell>
          <cell r="CG68">
            <v>15735.39</v>
          </cell>
          <cell r="CH68">
            <v>3017.6</v>
          </cell>
          <cell r="CI68" t="str">
            <v>Yapıldı</v>
          </cell>
        </row>
        <row r="69">
          <cell r="BW69" t="str">
            <v>62025</v>
          </cell>
          <cell r="BX69" t="str">
            <v>2025Nisan100104141619</v>
          </cell>
          <cell r="BY69" t="str">
            <v>Tek</v>
          </cell>
          <cell r="CA69">
            <v>2025</v>
          </cell>
          <cell r="CB69" t="str">
            <v>Nisan</v>
          </cell>
          <cell r="CC69">
            <v>100104141619</v>
          </cell>
          <cell r="CD69">
            <v>45777</v>
          </cell>
          <cell r="CE69">
            <v>45792</v>
          </cell>
          <cell r="CF69" t="str">
            <v>E4U2025000014068</v>
          </cell>
          <cell r="CG69">
            <v>23134.87</v>
          </cell>
          <cell r="CH69">
            <v>3098.64</v>
          </cell>
          <cell r="CI69" t="str">
            <v>Yapıldı</v>
          </cell>
        </row>
        <row r="70">
          <cell r="BW70" t="str">
            <v>72025</v>
          </cell>
          <cell r="BX70" t="str">
            <v>2025Nisan100104141620</v>
          </cell>
          <cell r="BY70" t="str">
            <v>Çift</v>
          </cell>
          <cell r="CA70">
            <v>2025</v>
          </cell>
          <cell r="CB70" t="str">
            <v>Nisan</v>
          </cell>
          <cell r="CC70">
            <v>100104141620</v>
          </cell>
          <cell r="CD70">
            <v>45777</v>
          </cell>
          <cell r="CE70">
            <v>45792</v>
          </cell>
          <cell r="CF70" t="str">
            <v>E4U2025000014070</v>
          </cell>
          <cell r="CG70">
            <v>22730.13</v>
          </cell>
          <cell r="CH70">
            <v>3602.88</v>
          </cell>
          <cell r="CI70" t="str">
            <v>Yapıldı</v>
          </cell>
        </row>
        <row r="71">
          <cell r="BW71" t="str">
            <v>82025</v>
          </cell>
          <cell r="BX71" t="str">
            <v>2025Nisan194975</v>
          </cell>
          <cell r="BY71" t="str">
            <v>Tek</v>
          </cell>
          <cell r="CA71">
            <v>2025</v>
          </cell>
          <cell r="CB71" t="str">
            <v>Nisan</v>
          </cell>
          <cell r="CC71">
            <v>194975</v>
          </cell>
          <cell r="CD71">
            <v>45782</v>
          </cell>
          <cell r="CE71">
            <v>45792</v>
          </cell>
          <cell r="CF71" t="str">
            <v>KTE2025000041298</v>
          </cell>
          <cell r="CG71">
            <v>2985.17</v>
          </cell>
          <cell r="CH71">
            <v>1589.32</v>
          </cell>
          <cell r="CI71" t="str">
            <v>Yapıldı</v>
          </cell>
        </row>
        <row r="72">
          <cell r="BW72" t="str">
            <v>92025</v>
          </cell>
          <cell r="BX72" t="str">
            <v>2025Nisan165544</v>
          </cell>
          <cell r="BY72" t="str">
            <v>Çift</v>
          </cell>
          <cell r="CA72">
            <v>2025</v>
          </cell>
          <cell r="CB72" t="str">
            <v>Nisan</v>
          </cell>
          <cell r="CC72">
            <v>165544</v>
          </cell>
          <cell r="CD72">
            <v>45782</v>
          </cell>
          <cell r="CE72">
            <v>45792</v>
          </cell>
          <cell r="CF72" t="str">
            <v>KTE2025000041299</v>
          </cell>
          <cell r="CG72">
            <v>106813.98</v>
          </cell>
          <cell r="CH72">
            <v>53602.41</v>
          </cell>
          <cell r="CI72" t="str">
            <v>Yapıldı</v>
          </cell>
        </row>
        <row r="73">
          <cell r="BW73" t="str">
            <v>102025</v>
          </cell>
          <cell r="BX73" t="str">
            <v>2025Nisan167440</v>
          </cell>
          <cell r="BY73" t="str">
            <v>Tek</v>
          </cell>
          <cell r="CA73">
            <v>2025</v>
          </cell>
          <cell r="CB73" t="str">
            <v>Nisan</v>
          </cell>
          <cell r="CC73">
            <v>167440</v>
          </cell>
          <cell r="CD73">
            <v>45782</v>
          </cell>
          <cell r="CE73">
            <v>45792</v>
          </cell>
          <cell r="CF73" t="str">
            <v>KTE2025000041297</v>
          </cell>
          <cell r="CG73">
            <v>87535.19</v>
          </cell>
          <cell r="CH73">
            <v>42862.06</v>
          </cell>
          <cell r="CI73" t="str">
            <v>Yapıldı</v>
          </cell>
        </row>
        <row r="74">
          <cell r="BW74" t="str">
            <v>112025</v>
          </cell>
          <cell r="BX74" t="str">
            <v>2025Mayıs100104141619</v>
          </cell>
          <cell r="BY74" t="str">
            <v>Çift</v>
          </cell>
          <cell r="CA74">
            <v>2025</v>
          </cell>
          <cell r="CB74" t="str">
            <v>Mayıs</v>
          </cell>
          <cell r="CC74">
            <v>100104141619</v>
          </cell>
          <cell r="CD74">
            <v>45808</v>
          </cell>
          <cell r="CE74">
            <v>45824</v>
          </cell>
          <cell r="CF74" t="str">
            <v>E5V2025000016957</v>
          </cell>
          <cell r="CG74">
            <v>20363.09</v>
          </cell>
          <cell r="CH74">
            <v>3228.48</v>
          </cell>
        </row>
        <row r="75">
          <cell r="BW75" t="str">
            <v>122025</v>
          </cell>
          <cell r="BX75" t="str">
            <v>2025Mayıs100104141620</v>
          </cell>
          <cell r="BY75" t="str">
            <v>Tek</v>
          </cell>
          <cell r="CA75">
            <v>2025</v>
          </cell>
          <cell r="CB75" t="str">
            <v>Mayıs</v>
          </cell>
          <cell r="CC75">
            <v>100104141620</v>
          </cell>
          <cell r="CD75">
            <v>45808</v>
          </cell>
          <cell r="CE75">
            <v>45824</v>
          </cell>
          <cell r="CF75" t="str">
            <v>E5V2025000016137</v>
          </cell>
          <cell r="CG75">
            <v>26436.82</v>
          </cell>
          <cell r="CH75">
            <v>4196</v>
          </cell>
        </row>
        <row r="76">
          <cell r="BW76" t="str">
            <v>132025</v>
          </cell>
          <cell r="BX76" t="str">
            <v>2025Mayıs165544</v>
          </cell>
          <cell r="BY76" t="str">
            <v>Çift</v>
          </cell>
          <cell r="CA76">
            <v>2025</v>
          </cell>
          <cell r="CB76" t="str">
            <v>Mayıs</v>
          </cell>
          <cell r="CC76">
            <v>165544</v>
          </cell>
          <cell r="CD76">
            <v>45812</v>
          </cell>
          <cell r="CE76">
            <v>45824</v>
          </cell>
          <cell r="CF76" t="str">
            <v>KTE2025000050645</v>
          </cell>
          <cell r="CG76">
            <v>61726.15</v>
          </cell>
          <cell r="CH76">
            <v>31150.11</v>
          </cell>
        </row>
        <row r="77">
          <cell r="BW77" t="str">
            <v>142025</v>
          </cell>
          <cell r="BX77" t="str">
            <v>2025Mayıs167440</v>
          </cell>
          <cell r="BY77" t="str">
            <v>Tek</v>
          </cell>
          <cell r="CA77">
            <v>2025</v>
          </cell>
          <cell r="CB77" t="str">
            <v>Mayıs</v>
          </cell>
          <cell r="CC77">
            <v>167440</v>
          </cell>
          <cell r="CD77">
            <v>45812</v>
          </cell>
          <cell r="CE77">
            <v>45824</v>
          </cell>
          <cell r="CF77" t="str">
            <v>KTE2025000050643</v>
          </cell>
          <cell r="CG77">
            <v>19920.02</v>
          </cell>
          <cell r="CH77">
            <v>9419.76</v>
          </cell>
        </row>
        <row r="78">
          <cell r="BW78" t="str">
            <v>152025</v>
          </cell>
          <cell r="BX78" t="str">
            <v>2025Mayıs194975</v>
          </cell>
          <cell r="BY78" t="str">
            <v>Çift</v>
          </cell>
          <cell r="CA78">
            <v>2025</v>
          </cell>
          <cell r="CB78" t="str">
            <v>Mayıs</v>
          </cell>
          <cell r="CC78">
            <v>194975</v>
          </cell>
          <cell r="CD78">
            <v>45812</v>
          </cell>
          <cell r="CE78">
            <v>45824</v>
          </cell>
          <cell r="CF78" t="str">
            <v>KTE2025000050642</v>
          </cell>
          <cell r="CG78">
            <v>2986.24</v>
          </cell>
          <cell r="CH78">
            <v>1531.17</v>
          </cell>
        </row>
        <row r="79">
          <cell r="BW79" t="str">
            <v>162025</v>
          </cell>
          <cell r="BX79" t="str">
            <v>2025Haziran100104141619</v>
          </cell>
          <cell r="BY79" t="str">
            <v>Tek</v>
          </cell>
          <cell r="CA79">
            <v>2025</v>
          </cell>
          <cell r="CB79" t="str">
            <v>Haziran</v>
          </cell>
          <cell r="CC79">
            <v>100104141619</v>
          </cell>
          <cell r="CD79">
            <v>45838</v>
          </cell>
          <cell r="CE79">
            <v>45854</v>
          </cell>
          <cell r="CF79" t="str">
            <v>E6U2025000016378</v>
          </cell>
          <cell r="CG79">
            <v>16735.09</v>
          </cell>
          <cell r="CH79">
            <v>3573.68</v>
          </cell>
        </row>
        <row r="80">
          <cell r="BW80" t="str">
            <v>172025</v>
          </cell>
          <cell r="BX80" t="str">
            <v>2025Haziran100104141620</v>
          </cell>
          <cell r="BY80" t="str">
            <v>Çift</v>
          </cell>
          <cell r="CA80">
            <v>2025</v>
          </cell>
          <cell r="CB80" t="str">
            <v>Haziran</v>
          </cell>
          <cell r="CC80">
            <v>100104141620</v>
          </cell>
          <cell r="CD80">
            <v>45838</v>
          </cell>
          <cell r="CE80">
            <v>45854</v>
          </cell>
          <cell r="CF80" t="str">
            <v>E6U2025000016379</v>
          </cell>
          <cell r="CG80">
            <v>13038.62</v>
          </cell>
          <cell r="CH80">
            <v>1994.4</v>
          </cell>
        </row>
        <row r="81">
          <cell r="BW81" t="str">
            <v>182025</v>
          </cell>
          <cell r="BX81" t="str">
            <v>2025Haziran165544</v>
          </cell>
          <cell r="BY81" t="str">
            <v>Tek</v>
          </cell>
          <cell r="CA81">
            <v>2025</v>
          </cell>
          <cell r="CB81" t="str">
            <v>Haziran</v>
          </cell>
          <cell r="CC81">
            <v>165544</v>
          </cell>
          <cell r="CD81">
            <v>45842</v>
          </cell>
          <cell r="CE81">
            <v>45852</v>
          </cell>
          <cell r="CF81" t="str">
            <v>KTE2025000059471</v>
          </cell>
          <cell r="CG81">
            <v>12168.44</v>
          </cell>
          <cell r="CH81">
            <v>4379.8100000000004</v>
          </cell>
        </row>
        <row r="82">
          <cell r="BW82" t="str">
            <v>192025</v>
          </cell>
          <cell r="BX82" t="str">
            <v>2025Haziran167440</v>
          </cell>
          <cell r="BY82" t="str">
            <v>Çift</v>
          </cell>
          <cell r="CA82">
            <v>2025</v>
          </cell>
          <cell r="CB82" t="str">
            <v>Haziran</v>
          </cell>
          <cell r="CC82">
            <v>167440</v>
          </cell>
          <cell r="CD82">
            <v>45842</v>
          </cell>
          <cell r="CE82">
            <v>45852</v>
          </cell>
          <cell r="CF82" t="str">
            <v>KTE2025000059469</v>
          </cell>
          <cell r="CG82">
            <v>3957.11</v>
          </cell>
          <cell r="CH82">
            <v>435.56</v>
          </cell>
        </row>
        <row r="83">
          <cell r="BW83" t="str">
            <v>202025</v>
          </cell>
          <cell r="BX83" t="str">
            <v>2025Haziran194975</v>
          </cell>
          <cell r="BY83" t="str">
            <v>Tek</v>
          </cell>
          <cell r="CA83">
            <v>2025</v>
          </cell>
          <cell r="CB83" t="str">
            <v>Haziran</v>
          </cell>
          <cell r="CC83">
            <v>194975</v>
          </cell>
          <cell r="CD83">
            <v>45842</v>
          </cell>
          <cell r="CE83">
            <v>45852</v>
          </cell>
          <cell r="CF83" t="str">
            <v>KTE2025000059468</v>
          </cell>
          <cell r="CG83">
            <v>660.43</v>
          </cell>
          <cell r="CH83">
            <v>290.37</v>
          </cell>
        </row>
        <row r="84">
          <cell r="BW84" t="str">
            <v>212025</v>
          </cell>
          <cell r="BX84" t="str">
            <v>2025Temmuz100104141619</v>
          </cell>
          <cell r="BY84" t="str">
            <v>Çift</v>
          </cell>
          <cell r="CA84">
            <v>2025</v>
          </cell>
          <cell r="CB84" t="str">
            <v>Temmuz</v>
          </cell>
          <cell r="CC84">
            <v>100104141619</v>
          </cell>
          <cell r="CD84">
            <v>45869</v>
          </cell>
          <cell r="CE84">
            <v>45883</v>
          </cell>
          <cell r="CF84" t="str">
            <v>E7V2025000016372</v>
          </cell>
          <cell r="CG84">
            <v>15608.67</v>
          </cell>
          <cell r="CH84">
            <v>2223.6799999999998</v>
          </cell>
        </row>
        <row r="85">
          <cell r="BW85" t="str">
            <v>222025</v>
          </cell>
          <cell r="BX85" t="str">
            <v>2025Temmuz100104141620</v>
          </cell>
          <cell r="BY85" t="str">
            <v>Tek</v>
          </cell>
          <cell r="CA85">
            <v>2025</v>
          </cell>
          <cell r="CB85" t="str">
            <v>Temmuz</v>
          </cell>
          <cell r="CC85">
            <v>100104141620</v>
          </cell>
          <cell r="CD85">
            <v>45869</v>
          </cell>
          <cell r="CE85">
            <v>45883</v>
          </cell>
          <cell r="CF85" t="str">
            <v>E7V2025000016373</v>
          </cell>
          <cell r="CG85">
            <v>5534.38</v>
          </cell>
          <cell r="CH85">
            <v>615.52</v>
          </cell>
        </row>
        <row r="86">
          <cell r="BW86" t="str">
            <v>232025</v>
          </cell>
          <cell r="BX86" t="str">
            <v>2025Ağustos100104141619</v>
          </cell>
          <cell r="BY86" t="str">
            <v>Çift</v>
          </cell>
          <cell r="CA86">
            <v>2025</v>
          </cell>
          <cell r="CB86" t="str">
            <v>Ağustos</v>
          </cell>
          <cell r="CC86">
            <v>100104141619</v>
          </cell>
          <cell r="CD86">
            <v>45900</v>
          </cell>
          <cell r="CE86">
            <v>45912</v>
          </cell>
          <cell r="CF86" t="str">
            <v>E8V2025000014417</v>
          </cell>
          <cell r="CG86">
            <v>15271.62</v>
          </cell>
          <cell r="CH86">
            <v>2332.7199999999998</v>
          </cell>
        </row>
        <row r="87">
          <cell r="BW87" t="str">
            <v>242025</v>
          </cell>
          <cell r="BX87" t="str">
            <v>2025Ağustos100104141620</v>
          </cell>
          <cell r="BY87" t="str">
            <v>Tek</v>
          </cell>
          <cell r="CA87">
            <v>2025</v>
          </cell>
          <cell r="CB87" t="str">
            <v>Ağustos</v>
          </cell>
          <cell r="CC87">
            <v>100104141620</v>
          </cell>
          <cell r="CD87">
            <v>45900</v>
          </cell>
          <cell r="CE87">
            <v>45912</v>
          </cell>
          <cell r="CF87" t="str">
            <v>E8V2025000014418</v>
          </cell>
          <cell r="CG87">
            <v>3276.41</v>
          </cell>
          <cell r="CH87">
            <v>492.88</v>
          </cell>
        </row>
        <row r="88">
          <cell r="BW88" t="str">
            <v>252025</v>
          </cell>
          <cell r="BX88" t="str">
            <v>2025Eylül100104141619</v>
          </cell>
          <cell r="BY88" t="str">
            <v>Çift</v>
          </cell>
          <cell r="CA88">
            <v>2025</v>
          </cell>
          <cell r="CB88" t="str">
            <v>Eylül</v>
          </cell>
          <cell r="CC88">
            <v>100104141619</v>
          </cell>
          <cell r="CD88">
            <v>45930</v>
          </cell>
          <cell r="CE88">
            <v>45943</v>
          </cell>
          <cell r="CF88" t="str">
            <v>E9U2025000012349</v>
          </cell>
          <cell r="CG88">
            <v>13572.84</v>
          </cell>
          <cell r="CH88">
            <v>2176.96</v>
          </cell>
        </row>
        <row r="89">
          <cell r="BW89" t="str">
            <v>262025</v>
          </cell>
          <cell r="BX89" t="str">
            <v>2025Eylül100104141620</v>
          </cell>
          <cell r="BY89" t="str">
            <v>Tek</v>
          </cell>
          <cell r="CA89">
            <v>2025</v>
          </cell>
          <cell r="CB89" t="str">
            <v>Eylül</v>
          </cell>
          <cell r="CC89">
            <v>100104141620</v>
          </cell>
          <cell r="CD89">
            <v>45930</v>
          </cell>
          <cell r="CE89">
            <v>45943</v>
          </cell>
          <cell r="CF89" t="str">
            <v>E9U2025000012350</v>
          </cell>
          <cell r="CG89">
            <v>23496.83</v>
          </cell>
          <cell r="CH89">
            <v>3746.8</v>
          </cell>
        </row>
        <row r="90">
          <cell r="BW90" t="str">
            <v>272025</v>
          </cell>
          <cell r="BX90" t="str">
            <v>2025Eylül165544</v>
          </cell>
          <cell r="BY90" t="str">
            <v>Çift</v>
          </cell>
          <cell r="CA90">
            <v>2025</v>
          </cell>
          <cell r="CB90" t="str">
            <v>Eylül</v>
          </cell>
          <cell r="CC90">
            <v>165544</v>
          </cell>
          <cell r="CD90">
            <v>45934</v>
          </cell>
          <cell r="CE90">
            <v>45944</v>
          </cell>
          <cell r="CF90" t="str">
            <v>KTE2025000086176</v>
          </cell>
          <cell r="CG90">
            <v>23073.25</v>
          </cell>
          <cell r="CH90">
            <v>11288.42</v>
          </cell>
        </row>
        <row r="91">
          <cell r="BW91" t="str">
            <v>282025</v>
          </cell>
          <cell r="BX91" t="str">
            <v>2025Eylül167440</v>
          </cell>
          <cell r="BY91" t="str">
            <v>Tek</v>
          </cell>
          <cell r="CA91">
            <v>2025</v>
          </cell>
          <cell r="CB91" t="str">
            <v>Eylül</v>
          </cell>
          <cell r="CC91">
            <v>167440</v>
          </cell>
          <cell r="CD91">
            <v>45934</v>
          </cell>
          <cell r="CE91">
            <v>45944</v>
          </cell>
          <cell r="CF91" t="str">
            <v>KTE2025000086172</v>
          </cell>
          <cell r="CG91">
            <v>1331.15</v>
          </cell>
          <cell r="CH91">
            <v>651.25</v>
          </cell>
        </row>
        <row r="92">
          <cell r="BW92" t="str">
            <v>292025</v>
          </cell>
          <cell r="BX92" t="str">
            <v>2025Eylül194975</v>
          </cell>
          <cell r="BY92" t="str">
            <v>Çift</v>
          </cell>
          <cell r="CA92">
            <v>2025</v>
          </cell>
          <cell r="CB92" t="str">
            <v>Eylül</v>
          </cell>
          <cell r="CC92">
            <v>194975</v>
          </cell>
          <cell r="CD92">
            <v>45934</v>
          </cell>
          <cell r="CE92">
            <v>45944</v>
          </cell>
          <cell r="CF92" t="str">
            <v>KTE2025000086173</v>
          </cell>
          <cell r="CG92">
            <v>3056.71</v>
          </cell>
          <cell r="CH92">
            <v>1495.47</v>
          </cell>
        </row>
        <row r="93">
          <cell r="BW93" t="str">
            <v>302025</v>
          </cell>
          <cell r="BX93" t="str">
            <v>2025Ekim165544</v>
          </cell>
          <cell r="BY93" t="str">
            <v>Tek</v>
          </cell>
          <cell r="CA93">
            <v>2025</v>
          </cell>
          <cell r="CB93" t="str">
            <v>Ekim</v>
          </cell>
          <cell r="CC93">
            <v>165544</v>
          </cell>
          <cell r="CD93">
            <v>45965</v>
          </cell>
          <cell r="CE93">
            <v>45975</v>
          </cell>
          <cell r="CF93" t="str">
            <v>KTE2025000096001</v>
          </cell>
          <cell r="CG93">
            <v>90870.8</v>
          </cell>
          <cell r="CH93">
            <v>44278.44</v>
          </cell>
        </row>
        <row r="94">
          <cell r="BW94" t="str">
            <v>312025</v>
          </cell>
          <cell r="BX94" t="str">
            <v>2025Ekim167440</v>
          </cell>
          <cell r="BY94" t="str">
            <v>Çift</v>
          </cell>
          <cell r="CA94">
            <v>2025</v>
          </cell>
          <cell r="CB94" t="str">
            <v>Ekim</v>
          </cell>
          <cell r="CC94">
            <v>167440</v>
          </cell>
          <cell r="CD94">
            <v>45965</v>
          </cell>
          <cell r="CE94">
            <v>45975</v>
          </cell>
          <cell r="CF94" t="str">
            <v>KTE2025000095998</v>
          </cell>
          <cell r="CG94">
            <v>65214.02</v>
          </cell>
          <cell r="CH94">
            <v>31789.96</v>
          </cell>
        </row>
        <row r="95">
          <cell r="BW95" t="str">
            <v>322025</v>
          </cell>
          <cell r="BX95" t="str">
            <v>2025Ekim194975</v>
          </cell>
          <cell r="BY95" t="str">
            <v>Tek</v>
          </cell>
          <cell r="CA95">
            <v>2025</v>
          </cell>
          <cell r="CB95" t="str">
            <v>Ekim</v>
          </cell>
          <cell r="CC95">
            <v>194975</v>
          </cell>
          <cell r="CD95">
            <v>45965</v>
          </cell>
          <cell r="CE95">
            <v>45975</v>
          </cell>
          <cell r="CF95" t="str">
            <v>KTE2025000095999</v>
          </cell>
          <cell r="CG95">
            <v>4095.29</v>
          </cell>
          <cell r="CH95">
            <v>1993.75</v>
          </cell>
        </row>
        <row r="96">
          <cell r="BW96" t="str">
            <v>332025</v>
          </cell>
          <cell r="BX96" t="str">
            <v>2025Ekim100104141619</v>
          </cell>
          <cell r="BY96" t="str">
            <v>Çift</v>
          </cell>
          <cell r="CA96">
            <v>2025</v>
          </cell>
          <cell r="CB96" t="str">
            <v>Ekim</v>
          </cell>
          <cell r="CC96">
            <v>100104141619</v>
          </cell>
          <cell r="CD96">
            <v>45961</v>
          </cell>
          <cell r="CE96">
            <v>45975</v>
          </cell>
          <cell r="CF96" t="str">
            <v>E0V2025000016205</v>
          </cell>
          <cell r="CG96">
            <v>14575.98</v>
          </cell>
          <cell r="CH96">
            <v>2327.04</v>
          </cell>
        </row>
        <row r="97">
          <cell r="BW97" t="str">
            <v>342025</v>
          </cell>
          <cell r="BX97" t="str">
            <v>2025Ekim100104141620</v>
          </cell>
          <cell r="BY97" t="str">
            <v>Tek</v>
          </cell>
          <cell r="CA97">
            <v>2025</v>
          </cell>
          <cell r="CB97" t="str">
            <v>Ekim</v>
          </cell>
          <cell r="CC97">
            <v>100104141620</v>
          </cell>
          <cell r="CD97">
            <v>45961</v>
          </cell>
          <cell r="CE97">
            <v>45975</v>
          </cell>
          <cell r="CF97" t="str">
            <v>E0V2025000016206</v>
          </cell>
          <cell r="CG97">
            <v>35409.980000000003</v>
          </cell>
          <cell r="CH97">
            <v>5532</v>
          </cell>
        </row>
        <row r="98">
          <cell r="BW98" t="str">
            <v>352025</v>
          </cell>
          <cell r="BX98" t="str">
            <v>2025Temmuz9427</v>
          </cell>
          <cell r="BY98" t="str">
            <v>Çift</v>
          </cell>
          <cell r="CA98">
            <v>2025</v>
          </cell>
          <cell r="CB98" t="str">
            <v>Temmuz</v>
          </cell>
          <cell r="CC98">
            <v>9427</v>
          </cell>
          <cell r="CD98">
            <v>45849</v>
          </cell>
          <cell r="CE98">
            <v>45869</v>
          </cell>
          <cell r="CF98">
            <v>25000027466</v>
          </cell>
          <cell r="CG98">
            <v>5139</v>
          </cell>
          <cell r="CH98">
            <v>54</v>
          </cell>
        </row>
        <row r="99">
          <cell r="BW99" t="str">
            <v>362025</v>
          </cell>
          <cell r="BX99" t="str">
            <v>2025Ağustos9427</v>
          </cell>
          <cell r="BY99" t="str">
            <v>Tek</v>
          </cell>
          <cell r="CA99">
            <v>2025</v>
          </cell>
          <cell r="CB99" t="str">
            <v>Ağustos</v>
          </cell>
          <cell r="CC99">
            <v>9427</v>
          </cell>
          <cell r="CD99">
            <v>45884</v>
          </cell>
          <cell r="CE99">
            <v>45961</v>
          </cell>
          <cell r="CF99">
            <v>25000036152</v>
          </cell>
          <cell r="CG99">
            <v>9091</v>
          </cell>
          <cell r="CH99">
            <v>160</v>
          </cell>
        </row>
        <row r="100">
          <cell r="BW100" t="str">
            <v>372025</v>
          </cell>
          <cell r="BX100" t="str">
            <v>2025Eylül9427</v>
          </cell>
          <cell r="BY100" t="str">
            <v>Çift</v>
          </cell>
          <cell r="CA100">
            <v>2025</v>
          </cell>
          <cell r="CB100" t="str">
            <v>Eylül</v>
          </cell>
          <cell r="CC100">
            <v>9427</v>
          </cell>
          <cell r="CD100">
            <v>45915</v>
          </cell>
          <cell r="CE100">
            <v>45961</v>
          </cell>
          <cell r="CF100">
            <v>25000036155</v>
          </cell>
          <cell r="CG100">
            <v>7569</v>
          </cell>
          <cell r="CH100">
            <v>140</v>
          </cell>
        </row>
        <row r="101">
          <cell r="BW101" t="str">
            <v>382025</v>
          </cell>
          <cell r="BX101" t="str">
            <v>2025Ekim9427</v>
          </cell>
          <cell r="BY101" t="str">
            <v>Tek</v>
          </cell>
          <cell r="CA101">
            <v>2025</v>
          </cell>
          <cell r="CB101" t="str">
            <v>Ekim</v>
          </cell>
          <cell r="CC101">
            <v>9427</v>
          </cell>
          <cell r="CD101">
            <v>45945</v>
          </cell>
          <cell r="CE101">
            <v>45961</v>
          </cell>
          <cell r="CF101">
            <v>25000036157</v>
          </cell>
          <cell r="CG101">
            <v>8824</v>
          </cell>
          <cell r="CH101">
            <v>188</v>
          </cell>
        </row>
        <row r="102">
          <cell r="BW102" t="str">
            <v>392025</v>
          </cell>
          <cell r="BX102" t="str">
            <v>2025Kasım100104141619</v>
          </cell>
          <cell r="BY102" t="str">
            <v>Çift</v>
          </cell>
          <cell r="CA102">
            <v>2025</v>
          </cell>
          <cell r="CB102" t="str">
            <v>Kasım</v>
          </cell>
          <cell r="CC102">
            <v>100104141619</v>
          </cell>
          <cell r="CD102">
            <v>45991</v>
          </cell>
          <cell r="CE102">
            <v>46006</v>
          </cell>
          <cell r="CF102" t="str">
            <v>EZU2025000012360</v>
          </cell>
          <cell r="CG102">
            <v>12039.49</v>
          </cell>
          <cell r="CH102">
            <v>1948.48</v>
          </cell>
        </row>
        <row r="103">
          <cell r="BW103" t="str">
            <v>402025</v>
          </cell>
          <cell r="BX103" t="str">
            <v>2025Kasım100104141620</v>
          </cell>
          <cell r="BY103" t="str">
            <v>Tek</v>
          </cell>
          <cell r="CA103">
            <v>2025</v>
          </cell>
          <cell r="CB103" t="str">
            <v>Kasım</v>
          </cell>
          <cell r="CC103">
            <v>100104141620</v>
          </cell>
          <cell r="CD103">
            <v>45991</v>
          </cell>
          <cell r="CE103">
            <v>46006</v>
          </cell>
          <cell r="CF103" t="str">
            <v>EZU2025000012361</v>
          </cell>
          <cell r="CG103">
            <v>26079.64</v>
          </cell>
          <cell r="CH103">
            <v>4186.08</v>
          </cell>
        </row>
        <row r="104">
          <cell r="BW104" t="str">
            <v>412025</v>
          </cell>
          <cell r="BX104" t="str">
            <v>2025Kasım165544</v>
          </cell>
          <cell r="BY104" t="str">
            <v>Çift</v>
          </cell>
          <cell r="CA104">
            <v>2025</v>
          </cell>
          <cell r="CB104" t="str">
            <v>Kasım</v>
          </cell>
          <cell r="CC104">
            <v>165544</v>
          </cell>
          <cell r="CD104">
            <v>45995</v>
          </cell>
          <cell r="CE104">
            <v>46006</v>
          </cell>
          <cell r="CF104" t="str">
            <v>KTE2025000106449</v>
          </cell>
          <cell r="CG104">
            <v>88353.75</v>
          </cell>
          <cell r="CH104">
            <v>42844.86</v>
          </cell>
        </row>
        <row r="105">
          <cell r="BW105" t="str">
            <v>422025</v>
          </cell>
          <cell r="BX105" t="str">
            <v>2025Kasım167440</v>
          </cell>
          <cell r="BY105" t="str">
            <v>Tek</v>
          </cell>
          <cell r="CA105">
            <v>2025</v>
          </cell>
          <cell r="CB105" t="str">
            <v>Kasım</v>
          </cell>
          <cell r="CC105">
            <v>167440</v>
          </cell>
          <cell r="CD105">
            <v>45995</v>
          </cell>
          <cell r="CE105">
            <v>46006</v>
          </cell>
          <cell r="CF105" t="str">
            <v>KTE2025000106446</v>
          </cell>
          <cell r="CG105">
            <v>66969.58</v>
          </cell>
          <cell r="CH105">
            <v>32475.16</v>
          </cell>
        </row>
        <row r="106">
          <cell r="BW106" t="str">
            <v>432025</v>
          </cell>
          <cell r="BX106" t="str">
            <v>2025Kasım194975</v>
          </cell>
          <cell r="BY106" t="str">
            <v>Çift</v>
          </cell>
          <cell r="CA106">
            <v>2025</v>
          </cell>
          <cell r="CB106" t="str">
            <v>Kasım</v>
          </cell>
          <cell r="CC106">
            <v>194975</v>
          </cell>
          <cell r="CD106">
            <v>45995</v>
          </cell>
          <cell r="CE106">
            <v>46006</v>
          </cell>
          <cell r="CF106" t="str">
            <v>KTE2025000106448</v>
          </cell>
          <cell r="CG106">
            <v>2484.14</v>
          </cell>
          <cell r="CH106">
            <v>1204.6199999999999</v>
          </cell>
        </row>
        <row r="107">
          <cell r="BW107" t="str">
            <v>442025</v>
          </cell>
          <cell r="BX107" t="str">
            <v>2025Aralık100104141619</v>
          </cell>
          <cell r="BY107" t="str">
            <v>Tek</v>
          </cell>
          <cell r="CA107">
            <v>2025</v>
          </cell>
          <cell r="CB107" t="str">
            <v>Aralık</v>
          </cell>
          <cell r="CC107">
            <v>100104141619</v>
          </cell>
          <cell r="CD107">
            <v>46022</v>
          </cell>
          <cell r="CE107">
            <v>46037</v>
          </cell>
          <cell r="CF107" t="str">
            <v>EYV2025000014433</v>
          </cell>
          <cell r="CG107">
            <v>15790.41</v>
          </cell>
          <cell r="CH107">
            <v>2413.6</v>
          </cell>
        </row>
        <row r="108">
          <cell r="BW108" t="str">
            <v>452025</v>
          </cell>
          <cell r="BX108" t="str">
            <v>2025Aralık100104141620</v>
          </cell>
          <cell r="BY108" t="str">
            <v>Çift</v>
          </cell>
          <cell r="CA108">
            <v>2025</v>
          </cell>
          <cell r="CB108" t="str">
            <v>Aralık</v>
          </cell>
          <cell r="CC108">
            <v>100104141620</v>
          </cell>
          <cell r="CD108">
            <v>46022</v>
          </cell>
          <cell r="CE108">
            <v>42384</v>
          </cell>
          <cell r="CF108" t="str">
            <v>EYV2025000014434</v>
          </cell>
          <cell r="CG108">
            <v>34536.33</v>
          </cell>
          <cell r="CH108">
            <v>5298.96</v>
          </cell>
        </row>
        <row r="109">
          <cell r="BW109" t="str">
            <v>462025</v>
          </cell>
          <cell r="BX109" t="str">
            <v>2025Aralık165544</v>
          </cell>
          <cell r="BY109" t="str">
            <v>Tek</v>
          </cell>
          <cell r="CA109">
            <v>2025</v>
          </cell>
          <cell r="CB109" t="str">
            <v>Aralık</v>
          </cell>
          <cell r="CC109">
            <v>165544</v>
          </cell>
          <cell r="CD109">
            <v>46027</v>
          </cell>
          <cell r="CE109">
            <v>46037</v>
          </cell>
          <cell r="CF109" t="str">
            <v>KTE2026000005203</v>
          </cell>
          <cell r="CG109">
            <v>145017.1</v>
          </cell>
          <cell r="CH109">
            <v>70032.570000000007</v>
          </cell>
        </row>
        <row r="110">
          <cell r="BW110" t="str">
            <v>472025</v>
          </cell>
          <cell r="BX110" t="str">
            <v>2025Aralık167440</v>
          </cell>
          <cell r="BY110" t="str">
            <v>Çift</v>
          </cell>
          <cell r="CA110">
            <v>2025</v>
          </cell>
          <cell r="CB110" t="str">
            <v>Aralık</v>
          </cell>
          <cell r="CC110">
            <v>167440</v>
          </cell>
          <cell r="CD110">
            <v>46027</v>
          </cell>
          <cell r="CE110">
            <v>46037</v>
          </cell>
          <cell r="CF110" t="str">
            <v>KTE2026000005200</v>
          </cell>
          <cell r="CG110">
            <v>134477.99</v>
          </cell>
          <cell r="CH110">
            <v>64942.95</v>
          </cell>
        </row>
        <row r="111">
          <cell r="BW111" t="str">
            <v>482025</v>
          </cell>
          <cell r="BX111" t="str">
            <v>2025Aralık194975</v>
          </cell>
          <cell r="BY111" t="str">
            <v>Tek</v>
          </cell>
          <cell r="CA111">
            <v>2025</v>
          </cell>
          <cell r="CB111" t="str">
            <v>Aralık</v>
          </cell>
          <cell r="CC111">
            <v>194975</v>
          </cell>
          <cell r="CD111">
            <v>46027</v>
          </cell>
          <cell r="CE111">
            <v>46037</v>
          </cell>
          <cell r="CF111" t="str">
            <v>KTE2026000005201</v>
          </cell>
          <cell r="CG111">
            <v>3078.25</v>
          </cell>
          <cell r="CH111">
            <v>1486.57</v>
          </cell>
        </row>
        <row r="112">
          <cell r="BW112" t="str">
            <v>12026</v>
          </cell>
          <cell r="BX112" t="str">
            <v>2026Ocak100104141619</v>
          </cell>
          <cell r="BY112" t="str">
            <v>Çift</v>
          </cell>
          <cell r="CA112">
            <v>2026</v>
          </cell>
          <cell r="CB112" t="str">
            <v>Ocak</v>
          </cell>
          <cell r="CC112">
            <v>100104141619</v>
          </cell>
          <cell r="CD112">
            <v>46053</v>
          </cell>
          <cell r="CE112">
            <v>46069</v>
          </cell>
          <cell r="CF112" t="str">
            <v>E1V2026000015522</v>
          </cell>
          <cell r="CG112">
            <v>11632.96</v>
          </cell>
          <cell r="CH112">
            <v>1840.08</v>
          </cell>
          <cell r="CI112" t="str">
            <v>Yapıldı</v>
          </cell>
        </row>
        <row r="113">
          <cell r="BW113" t="str">
            <v>22026</v>
          </cell>
          <cell r="BX113" t="str">
            <v>2026Ocak100104141620</v>
          </cell>
          <cell r="BY113" t="str">
            <v>Tek</v>
          </cell>
          <cell r="CA113">
            <v>2026</v>
          </cell>
          <cell r="CB113" t="str">
            <v>Ocak</v>
          </cell>
          <cell r="CC113">
            <v>100104141620</v>
          </cell>
          <cell r="CD113">
            <v>46053</v>
          </cell>
          <cell r="CE113">
            <v>46069</v>
          </cell>
          <cell r="CF113" t="str">
            <v>E1V2026000015523</v>
          </cell>
          <cell r="CG113">
            <v>21688.19</v>
          </cell>
          <cell r="CH113">
            <v>3470.56</v>
          </cell>
          <cell r="CI113" t="str">
            <v>Yapıldı</v>
          </cell>
        </row>
        <row r="114">
          <cell r="BW114" t="str">
            <v>32026</v>
          </cell>
          <cell r="BX114" t="str">
            <v>2026Ocak165544</v>
          </cell>
          <cell r="BY114" t="str">
            <v>Çift</v>
          </cell>
          <cell r="CA114">
            <v>2026</v>
          </cell>
          <cell r="CB114" t="str">
            <v>Ocak</v>
          </cell>
          <cell r="CC114">
            <v>165544</v>
          </cell>
          <cell r="CD114">
            <v>46057</v>
          </cell>
          <cell r="CE114">
            <v>46069</v>
          </cell>
          <cell r="CF114" t="str">
            <v>KTE2026000016842</v>
          </cell>
          <cell r="CG114">
            <v>130913.59</v>
          </cell>
          <cell r="CH114">
            <v>63100.480000000003</v>
          </cell>
          <cell r="CI114" t="str">
            <v>Yapıldı</v>
          </cell>
        </row>
        <row r="115">
          <cell r="BW115" t="str">
            <v>42026</v>
          </cell>
          <cell r="BX115" t="str">
            <v>2026Ocak167440</v>
          </cell>
          <cell r="BY115" t="str">
            <v>Tek</v>
          </cell>
          <cell r="CA115">
            <v>2026</v>
          </cell>
          <cell r="CB115" t="str">
            <v>Ocak</v>
          </cell>
          <cell r="CC115">
            <v>167440</v>
          </cell>
          <cell r="CD115">
            <v>46057</v>
          </cell>
          <cell r="CE115">
            <v>46069</v>
          </cell>
          <cell r="CF115" t="str">
            <v>KTE2026000016836</v>
          </cell>
          <cell r="CG115">
            <v>124773.34</v>
          </cell>
          <cell r="CH115">
            <v>60140.87</v>
          </cell>
          <cell r="CI115" t="str">
            <v>Yapıldı</v>
          </cell>
        </row>
        <row r="116">
          <cell r="BW116" t="str">
            <v>52026</v>
          </cell>
          <cell r="BX116" t="str">
            <v>2026Ocak194975</v>
          </cell>
          <cell r="BY116" t="str">
            <v>Çift</v>
          </cell>
          <cell r="CA116">
            <v>2026</v>
          </cell>
          <cell r="CB116" t="str">
            <v>Ocak</v>
          </cell>
          <cell r="CC116">
            <v>194975</v>
          </cell>
          <cell r="CD116">
            <v>46057</v>
          </cell>
          <cell r="CE116">
            <v>46069</v>
          </cell>
          <cell r="CF116" t="str">
            <v>KTE2026000016839</v>
          </cell>
          <cell r="CG116">
            <v>1233.3</v>
          </cell>
          <cell r="CH116">
            <v>594.45000000000005</v>
          </cell>
          <cell r="CI116" t="str">
            <v>Yapıldı</v>
          </cell>
        </row>
        <row r="117">
          <cell r="BW117" t="str">
            <v>0</v>
          </cell>
          <cell r="BX117" t="str">
            <v/>
          </cell>
          <cell r="BY117" t="str">
            <v>Tek</v>
          </cell>
        </row>
        <row r="118">
          <cell r="BW118" t="str">
            <v>0</v>
          </cell>
          <cell r="BX118" t="str">
            <v/>
          </cell>
          <cell r="BY118" t="str">
            <v>Çift</v>
          </cell>
        </row>
        <row r="119">
          <cell r="BW119" t="str">
            <v>0</v>
          </cell>
          <cell r="BX119" t="str">
            <v/>
          </cell>
          <cell r="BY119" t="str">
            <v>Tek</v>
          </cell>
        </row>
        <row r="120">
          <cell r="BW120" t="str">
            <v>0</v>
          </cell>
          <cell r="BX120" t="str">
            <v/>
          </cell>
          <cell r="BY120" t="str">
            <v>Çift</v>
          </cell>
        </row>
        <row r="121">
          <cell r="BW121" t="str">
            <v>0</v>
          </cell>
          <cell r="BX121" t="str">
            <v/>
          </cell>
          <cell r="BY121" t="str">
            <v>Tek</v>
          </cell>
        </row>
        <row r="122">
          <cell r="BW122" t="str">
            <v>0</v>
          </cell>
          <cell r="BX122" t="str">
            <v/>
          </cell>
          <cell r="BY122" t="str">
            <v>Çift</v>
          </cell>
        </row>
        <row r="123">
          <cell r="BW123" t="str">
            <v>0</v>
          </cell>
          <cell r="BX123" t="str">
            <v/>
          </cell>
          <cell r="BY123" t="str">
            <v>Tek</v>
          </cell>
        </row>
        <row r="124">
          <cell r="BW124" t="str">
            <v>0</v>
          </cell>
          <cell r="BX124" t="str">
            <v/>
          </cell>
          <cell r="BY124" t="str">
            <v>Çift</v>
          </cell>
        </row>
        <row r="125">
          <cell r="BW125" t="str">
            <v>0</v>
          </cell>
          <cell r="BX125" t="str">
            <v/>
          </cell>
          <cell r="BY125" t="str">
            <v>Tek</v>
          </cell>
        </row>
        <row r="126">
          <cell r="BW126" t="str">
            <v>0</v>
          </cell>
          <cell r="BX126" t="str">
            <v/>
          </cell>
          <cell r="BY126" t="str">
            <v>Çift</v>
          </cell>
        </row>
        <row r="127">
          <cell r="BW127" t="str">
            <v>0</v>
          </cell>
          <cell r="BX127" t="str">
            <v/>
          </cell>
          <cell r="BY127" t="str">
            <v>Tek</v>
          </cell>
        </row>
        <row r="128">
          <cell r="BW128" t="str">
            <v>0</v>
          </cell>
          <cell r="BX128" t="str">
            <v/>
          </cell>
          <cell r="BY128" t="str">
            <v>Çift</v>
          </cell>
        </row>
        <row r="129">
          <cell r="BW129" t="str">
            <v>0</v>
          </cell>
          <cell r="BX129" t="str">
            <v/>
          </cell>
          <cell r="BY129" t="str">
            <v>Tek</v>
          </cell>
        </row>
        <row r="130">
          <cell r="BW130" t="str">
            <v>0</v>
          </cell>
          <cell r="BX130" t="str">
            <v/>
          </cell>
          <cell r="BY130" t="str">
            <v>Çift</v>
          </cell>
        </row>
        <row r="131">
          <cell r="BW131" t="str">
            <v>0</v>
          </cell>
          <cell r="BX131" t="str">
            <v/>
          </cell>
          <cell r="BY131" t="str">
            <v>Tek</v>
          </cell>
        </row>
        <row r="132">
          <cell r="BW132" t="str">
            <v>0</v>
          </cell>
          <cell r="BX132" t="str">
            <v/>
          </cell>
          <cell r="BY132" t="str">
            <v>Çift</v>
          </cell>
        </row>
        <row r="133">
          <cell r="BW133" t="str">
            <v>0</v>
          </cell>
          <cell r="BX133" t="str">
            <v/>
          </cell>
          <cell r="BY133" t="str">
            <v>Tek</v>
          </cell>
        </row>
        <row r="134">
          <cell r="BW134" t="str">
            <v>0</v>
          </cell>
          <cell r="BX134" t="str">
            <v/>
          </cell>
          <cell r="BY134" t="str">
            <v>Çift</v>
          </cell>
        </row>
        <row r="135">
          <cell r="BW135" t="str">
            <v>0</v>
          </cell>
          <cell r="BX135" t="str">
            <v/>
          </cell>
          <cell r="BY135" t="str">
            <v>Tek</v>
          </cell>
        </row>
        <row r="136">
          <cell r="BW136" t="str">
            <v>0</v>
          </cell>
          <cell r="BX136" t="str">
            <v/>
          </cell>
          <cell r="BY136" t="str">
            <v>Çift</v>
          </cell>
        </row>
        <row r="137">
          <cell r="BW137" t="str">
            <v>0</v>
          </cell>
          <cell r="BX137" t="str">
            <v/>
          </cell>
          <cell r="BY137" t="str">
            <v>Tek</v>
          </cell>
        </row>
        <row r="138">
          <cell r="BW138" t="str">
            <v>0</v>
          </cell>
          <cell r="BX138" t="str">
            <v/>
          </cell>
          <cell r="BY138" t="str">
            <v>Çift</v>
          </cell>
        </row>
        <row r="139">
          <cell r="BW139" t="str">
            <v>0</v>
          </cell>
          <cell r="BX139" t="str">
            <v/>
          </cell>
          <cell r="BY139" t="str">
            <v>Tek</v>
          </cell>
        </row>
        <row r="140">
          <cell r="BW140" t="str">
            <v>0</v>
          </cell>
          <cell r="BX140" t="str">
            <v/>
          </cell>
          <cell r="BY140" t="str">
            <v>Çift</v>
          </cell>
        </row>
        <row r="141">
          <cell r="BW141" t="str">
            <v>0</v>
          </cell>
          <cell r="BX141" t="str">
            <v/>
          </cell>
          <cell r="BY141" t="str">
            <v>Tek</v>
          </cell>
        </row>
        <row r="142">
          <cell r="BW142" t="str">
            <v>0</v>
          </cell>
          <cell r="BX142" t="str">
            <v/>
          </cell>
          <cell r="BY142" t="str">
            <v>Çift</v>
          </cell>
        </row>
        <row r="143">
          <cell r="BW143" t="str">
            <v>0</v>
          </cell>
          <cell r="BX143" t="str">
            <v/>
          </cell>
          <cell r="BY143" t="str">
            <v>Tek</v>
          </cell>
        </row>
        <row r="144">
          <cell r="BW144" t="str">
            <v>0</v>
          </cell>
          <cell r="BX144" t="str">
            <v/>
          </cell>
          <cell r="BY144" t="str">
            <v>Çift</v>
          </cell>
        </row>
        <row r="145">
          <cell r="BW145" t="str">
            <v>0</v>
          </cell>
          <cell r="BX145" t="str">
            <v/>
          </cell>
          <cell r="BY145" t="str">
            <v>Tek</v>
          </cell>
        </row>
        <row r="146">
          <cell r="BW146" t="str">
            <v>0</v>
          </cell>
          <cell r="BX146" t="str">
            <v/>
          </cell>
          <cell r="BY146" t="str">
            <v>Çift</v>
          </cell>
        </row>
        <row r="147">
          <cell r="BW147" t="str">
            <v>0</v>
          </cell>
          <cell r="BX147" t="str">
            <v/>
          </cell>
          <cell r="BY147" t="str">
            <v>Tek</v>
          </cell>
        </row>
        <row r="148">
          <cell r="BW148" t="str">
            <v>0</v>
          </cell>
          <cell r="BX148" t="str">
            <v/>
          </cell>
          <cell r="BY148" t="str">
            <v>Çift</v>
          </cell>
        </row>
        <row r="149">
          <cell r="BW149" t="str">
            <v>0</v>
          </cell>
          <cell r="BX149" t="str">
            <v/>
          </cell>
          <cell r="BY149" t="str">
            <v>Tek</v>
          </cell>
        </row>
        <row r="150">
          <cell r="BW150" t="str">
            <v>0</v>
          </cell>
          <cell r="BX150" t="str">
            <v/>
          </cell>
          <cell r="BY150" t="str">
            <v>Çift</v>
          </cell>
        </row>
        <row r="151">
          <cell r="BW151" t="str">
            <v>0</v>
          </cell>
          <cell r="BX151" t="str">
            <v/>
          </cell>
          <cell r="BY151" t="str">
            <v>Tek</v>
          </cell>
        </row>
        <row r="152">
          <cell r="BW152" t="str">
            <v>0</v>
          </cell>
          <cell r="BX152" t="str">
            <v/>
          </cell>
          <cell r="BY152" t="str">
            <v>Çift</v>
          </cell>
        </row>
        <row r="153">
          <cell r="BW153" t="str">
            <v>0</v>
          </cell>
          <cell r="BX153" t="str">
            <v/>
          </cell>
          <cell r="BY153" t="str">
            <v>Tek</v>
          </cell>
        </row>
        <row r="154">
          <cell r="BW154" t="str">
            <v>0</v>
          </cell>
          <cell r="BX154" t="str">
            <v/>
          </cell>
          <cell r="BY154" t="str">
            <v>Çift</v>
          </cell>
        </row>
        <row r="155">
          <cell r="BW155" t="str">
            <v>0</v>
          </cell>
          <cell r="BX155" t="str">
            <v/>
          </cell>
          <cell r="BY155" t="str">
            <v>Tek</v>
          </cell>
        </row>
        <row r="156">
          <cell r="BW156" t="str">
            <v>0</v>
          </cell>
          <cell r="BX156" t="str">
            <v/>
          </cell>
          <cell r="BY156" t="str">
            <v>Çift</v>
          </cell>
        </row>
        <row r="157">
          <cell r="BW157" t="str">
            <v>0</v>
          </cell>
          <cell r="BX157" t="str">
            <v/>
          </cell>
          <cell r="BY157" t="str">
            <v>Tek</v>
          </cell>
        </row>
        <row r="158">
          <cell r="BW158" t="str">
            <v>0</v>
          </cell>
          <cell r="BX158" t="str">
            <v/>
          </cell>
          <cell r="BY158" t="str">
            <v>Çift</v>
          </cell>
        </row>
        <row r="159">
          <cell r="BW159" t="str">
            <v>0</v>
          </cell>
          <cell r="BX159" t="str">
            <v/>
          </cell>
          <cell r="BY159" t="str">
            <v>Tek</v>
          </cell>
        </row>
        <row r="160">
          <cell r="BW160" t="str">
            <v>0</v>
          </cell>
          <cell r="BX160" t="str">
            <v/>
          </cell>
          <cell r="BY160" t="str">
            <v>Çift</v>
          </cell>
        </row>
        <row r="161">
          <cell r="BW161" t="str">
            <v>0</v>
          </cell>
          <cell r="BX161" t="str">
            <v/>
          </cell>
          <cell r="BY161" t="str">
            <v>Tek</v>
          </cell>
        </row>
        <row r="162">
          <cell r="BW162" t="str">
            <v>0</v>
          </cell>
          <cell r="BX162" t="str">
            <v/>
          </cell>
          <cell r="BY162" t="str">
            <v>Çift</v>
          </cell>
        </row>
        <row r="163">
          <cell r="BW163" t="str">
            <v>0</v>
          </cell>
          <cell r="BX163" t="str">
            <v/>
          </cell>
          <cell r="BY163" t="str">
            <v>Tek</v>
          </cell>
        </row>
        <row r="164">
          <cell r="BW164" t="str">
            <v>0</v>
          </cell>
          <cell r="BX164" t="str">
            <v/>
          </cell>
          <cell r="BY164" t="str">
            <v>Çift</v>
          </cell>
        </row>
        <row r="165">
          <cell r="BW165" t="str">
            <v>0</v>
          </cell>
          <cell r="BX165" t="str">
            <v/>
          </cell>
          <cell r="BY165" t="str">
            <v>Tek</v>
          </cell>
        </row>
        <row r="166">
          <cell r="BW166" t="str">
            <v>0</v>
          </cell>
          <cell r="BX166" t="str">
            <v/>
          </cell>
          <cell r="BY166" t="str">
            <v>Çift</v>
          </cell>
        </row>
        <row r="167">
          <cell r="BW167" t="str">
            <v>0</v>
          </cell>
          <cell r="BX167" t="str">
            <v/>
          </cell>
          <cell r="BY167" t="str">
            <v>Tek</v>
          </cell>
        </row>
        <row r="168">
          <cell r="BW168" t="str">
            <v>0</v>
          </cell>
          <cell r="BX168" t="str">
            <v/>
          </cell>
          <cell r="BY168" t="str">
            <v>Çift</v>
          </cell>
        </row>
        <row r="169">
          <cell r="BW169" t="str">
            <v>0</v>
          </cell>
          <cell r="BX169" t="str">
            <v/>
          </cell>
          <cell r="BY169" t="str">
            <v>Tek</v>
          </cell>
        </row>
        <row r="170">
          <cell r="BW170" t="str">
            <v>0</v>
          </cell>
          <cell r="BX170" t="str">
            <v/>
          </cell>
          <cell r="BY170" t="str">
            <v>Çift</v>
          </cell>
        </row>
        <row r="171">
          <cell r="BW171" t="str">
            <v>0</v>
          </cell>
          <cell r="BX171" t="str">
            <v/>
          </cell>
          <cell r="BY171" t="str">
            <v>Tek</v>
          </cell>
        </row>
        <row r="172">
          <cell r="BW172" t="str">
            <v>0</v>
          </cell>
          <cell r="BX172" t="str">
            <v/>
          </cell>
          <cell r="BY172" t="str">
            <v>Çift</v>
          </cell>
        </row>
        <row r="173">
          <cell r="BW173" t="str">
            <v>0</v>
          </cell>
          <cell r="BX173" t="str">
            <v/>
          </cell>
          <cell r="BY173" t="str">
            <v>Tek</v>
          </cell>
        </row>
        <row r="174">
          <cell r="BW174" t="str">
            <v>0</v>
          </cell>
          <cell r="BX174" t="str">
            <v/>
          </cell>
          <cell r="BY174" t="str">
            <v>Çift</v>
          </cell>
        </row>
        <row r="175">
          <cell r="BW175" t="str">
            <v>0</v>
          </cell>
          <cell r="BX175" t="str">
            <v/>
          </cell>
          <cell r="BY175" t="str">
            <v>Tek</v>
          </cell>
        </row>
        <row r="176">
          <cell r="BW176" t="str">
            <v>0</v>
          </cell>
          <cell r="BX176" t="str">
            <v/>
          </cell>
          <cell r="BY176" t="str">
            <v>Çift</v>
          </cell>
        </row>
        <row r="177">
          <cell r="BW177" t="str">
            <v>0</v>
          </cell>
          <cell r="BX177" t="str">
            <v/>
          </cell>
          <cell r="BY177" t="str">
            <v>Tek</v>
          </cell>
        </row>
        <row r="178">
          <cell r="BW178" t="str">
            <v>0</v>
          </cell>
          <cell r="BX178" t="str">
            <v/>
          </cell>
          <cell r="BY178" t="str">
            <v>Çift</v>
          </cell>
        </row>
        <row r="179">
          <cell r="BW179" t="str">
            <v>0</v>
          </cell>
          <cell r="BX179" t="str">
            <v/>
          </cell>
          <cell r="BY179" t="str">
            <v>Tek</v>
          </cell>
        </row>
        <row r="180">
          <cell r="BW180" t="str">
            <v>0</v>
          </cell>
          <cell r="BX180" t="str">
            <v/>
          </cell>
          <cell r="BY180" t="str">
            <v>Çift</v>
          </cell>
        </row>
        <row r="181">
          <cell r="BW181" t="str">
            <v>0</v>
          </cell>
          <cell r="BX181" t="str">
            <v/>
          </cell>
          <cell r="BY181" t="str">
            <v>Tek</v>
          </cell>
        </row>
        <row r="182">
          <cell r="BW182" t="str">
            <v>0</v>
          </cell>
          <cell r="BX182" t="str">
            <v/>
          </cell>
          <cell r="BY182" t="str">
            <v>Çift</v>
          </cell>
        </row>
        <row r="183">
          <cell r="BW183" t="str">
            <v>0</v>
          </cell>
          <cell r="BX183" t="str">
            <v/>
          </cell>
          <cell r="BY183" t="str">
            <v>Tek</v>
          </cell>
        </row>
        <row r="184">
          <cell r="BW184" t="str">
            <v>0</v>
          </cell>
          <cell r="BX184" t="str">
            <v/>
          </cell>
          <cell r="BY184" t="str">
            <v>Çift</v>
          </cell>
        </row>
        <row r="185">
          <cell r="BW185" t="str">
            <v>0</v>
          </cell>
          <cell r="BX185" t="str">
            <v/>
          </cell>
          <cell r="BY185" t="str">
            <v>Tek</v>
          </cell>
        </row>
        <row r="186">
          <cell r="BW186" t="str">
            <v>0</v>
          </cell>
          <cell r="BX186" t="str">
            <v/>
          </cell>
          <cell r="BY186" t="str">
            <v>Çift</v>
          </cell>
        </row>
        <row r="187">
          <cell r="BW187" t="str">
            <v>0</v>
          </cell>
          <cell r="BX187" t="str">
            <v/>
          </cell>
          <cell r="BY187" t="str">
            <v>Tek</v>
          </cell>
        </row>
        <row r="188">
          <cell r="BW188" t="str">
            <v>0</v>
          </cell>
          <cell r="BX188" t="str">
            <v/>
          </cell>
          <cell r="BY188" t="str">
            <v>Çift</v>
          </cell>
        </row>
        <row r="189">
          <cell r="BW189" t="str">
            <v>0</v>
          </cell>
          <cell r="BX189" t="str">
            <v/>
          </cell>
          <cell r="BY189" t="str">
            <v>Tek</v>
          </cell>
        </row>
        <row r="190">
          <cell r="BW190" t="str">
            <v>0</v>
          </cell>
          <cell r="BX190" t="str">
            <v/>
          </cell>
          <cell r="BY190" t="str">
            <v>Çift</v>
          </cell>
        </row>
        <row r="191">
          <cell r="BW191" t="str">
            <v>0</v>
          </cell>
          <cell r="BX191" t="str">
            <v/>
          </cell>
          <cell r="BY191" t="str">
            <v>Tek</v>
          </cell>
        </row>
        <row r="192">
          <cell r="BW192" t="str">
            <v>0</v>
          </cell>
          <cell r="BX192" t="str">
            <v/>
          </cell>
          <cell r="BY192" t="str">
            <v>Çift</v>
          </cell>
        </row>
        <row r="193">
          <cell r="BW193" t="str">
            <v>0</v>
          </cell>
          <cell r="BX193" t="str">
            <v/>
          </cell>
          <cell r="BY193" t="str">
            <v>Tek</v>
          </cell>
        </row>
        <row r="194">
          <cell r="BW194" t="str">
            <v>0</v>
          </cell>
          <cell r="BX194" t="str">
            <v/>
          </cell>
          <cell r="BY194" t="str">
            <v>Çift</v>
          </cell>
        </row>
        <row r="195">
          <cell r="BW195" t="str">
            <v>0</v>
          </cell>
          <cell r="BX195" t="str">
            <v/>
          </cell>
          <cell r="BY195" t="str">
            <v>Tek</v>
          </cell>
        </row>
        <row r="196">
          <cell r="BW196" t="str">
            <v>0</v>
          </cell>
          <cell r="BX196" t="str">
            <v/>
          </cell>
          <cell r="BY196" t="str">
            <v>Çift</v>
          </cell>
        </row>
        <row r="197">
          <cell r="BW197" t="str">
            <v>0</v>
          </cell>
          <cell r="BX197" t="str">
            <v/>
          </cell>
          <cell r="BY197" t="str">
            <v>Tek</v>
          </cell>
        </row>
        <row r="198">
          <cell r="BW198" t="str">
            <v>0</v>
          </cell>
          <cell r="BX198" t="str">
            <v/>
          </cell>
          <cell r="BY198" t="str">
            <v>Çift</v>
          </cell>
        </row>
        <row r="199">
          <cell r="BW199" t="str">
            <v>0</v>
          </cell>
          <cell r="BX199" t="str">
            <v/>
          </cell>
          <cell r="BY199" t="str">
            <v>Tek</v>
          </cell>
        </row>
        <row r="200">
          <cell r="BW200" t="str">
            <v>0</v>
          </cell>
          <cell r="BX200" t="str">
            <v/>
          </cell>
          <cell r="BY200" t="str">
            <v>Çift</v>
          </cell>
        </row>
        <row r="201">
          <cell r="BW201" t="str">
            <v>0</v>
          </cell>
          <cell r="BX201" t="str">
            <v/>
          </cell>
          <cell r="BY201" t="str">
            <v>Tek</v>
          </cell>
        </row>
        <row r="202">
          <cell r="BW202" t="str">
            <v>0</v>
          </cell>
          <cell r="BX202" t="str">
            <v/>
          </cell>
          <cell r="BY202" t="str">
            <v>Çift</v>
          </cell>
        </row>
        <row r="203">
          <cell r="BW203" t="str">
            <v>0</v>
          </cell>
          <cell r="BX203" t="str">
            <v/>
          </cell>
          <cell r="BY203" t="str">
            <v>Tek</v>
          </cell>
        </row>
        <row r="204">
          <cell r="BW204" t="str">
            <v>0</v>
          </cell>
          <cell r="BX204" t="str">
            <v/>
          </cell>
          <cell r="BY204" t="str">
            <v>Çift</v>
          </cell>
        </row>
        <row r="205">
          <cell r="BW205" t="str">
            <v>0</v>
          </cell>
          <cell r="BX205" t="str">
            <v/>
          </cell>
          <cell r="BY205" t="str">
            <v>Tek</v>
          </cell>
        </row>
        <row r="206">
          <cell r="BW206" t="str">
            <v>0</v>
          </cell>
          <cell r="BX206" t="str">
            <v/>
          </cell>
          <cell r="BY206" t="str">
            <v>Çift</v>
          </cell>
        </row>
        <row r="207">
          <cell r="BW207" t="str">
            <v>0</v>
          </cell>
          <cell r="BX207" t="str">
            <v/>
          </cell>
          <cell r="BY207" t="str">
            <v>Tek</v>
          </cell>
        </row>
        <row r="208">
          <cell r="BW208" t="str">
            <v>0</v>
          </cell>
          <cell r="BX208" t="str">
            <v/>
          </cell>
          <cell r="BY208" t="str">
            <v>Çift</v>
          </cell>
        </row>
        <row r="209">
          <cell r="BW209" t="str">
            <v>0</v>
          </cell>
          <cell r="BX209" t="str">
            <v/>
          </cell>
          <cell r="BY209" t="str">
            <v>Tek</v>
          </cell>
        </row>
        <row r="210">
          <cell r="BW210" t="str">
            <v>0</v>
          </cell>
          <cell r="BX210" t="str">
            <v/>
          </cell>
          <cell r="BY210" t="str">
            <v>Çift</v>
          </cell>
        </row>
        <row r="211">
          <cell r="BW211" t="str">
            <v>0</v>
          </cell>
          <cell r="BX211" t="str">
            <v/>
          </cell>
          <cell r="BY211" t="str">
            <v>Tek</v>
          </cell>
        </row>
        <row r="212">
          <cell r="BW212" t="str">
            <v>0</v>
          </cell>
          <cell r="BX212" t="str">
            <v/>
          </cell>
          <cell r="BY212" t="str">
            <v>Çift</v>
          </cell>
        </row>
        <row r="213">
          <cell r="BW213" t="str">
            <v>0</v>
          </cell>
          <cell r="BX213" t="str">
            <v/>
          </cell>
          <cell r="BY213" t="str">
            <v>Tek</v>
          </cell>
        </row>
        <row r="214">
          <cell r="BW214" t="str">
            <v>0</v>
          </cell>
          <cell r="BX214" t="str">
            <v/>
          </cell>
          <cell r="BY214" t="str">
            <v>Çift</v>
          </cell>
        </row>
        <row r="215">
          <cell r="BW215" t="str">
            <v>0</v>
          </cell>
          <cell r="BX215" t="str">
            <v/>
          </cell>
          <cell r="BY215" t="str">
            <v>Tek</v>
          </cell>
        </row>
        <row r="216">
          <cell r="BW216" t="str">
            <v>0</v>
          </cell>
          <cell r="BX216" t="str">
            <v/>
          </cell>
          <cell r="BY216" t="str">
            <v>Çift</v>
          </cell>
        </row>
        <row r="217">
          <cell r="BW217" t="str">
            <v>0</v>
          </cell>
          <cell r="BX217" t="str">
            <v/>
          </cell>
          <cell r="BY217" t="str">
            <v>Tek</v>
          </cell>
        </row>
        <row r="218">
          <cell r="BW218" t="str">
            <v>0</v>
          </cell>
          <cell r="BX218" t="str">
            <v/>
          </cell>
          <cell r="BY218" t="str">
            <v>Çift</v>
          </cell>
        </row>
        <row r="219">
          <cell r="BW219" t="str">
            <v>0</v>
          </cell>
          <cell r="BX219" t="str">
            <v/>
          </cell>
          <cell r="BY219" t="str">
            <v>Tek</v>
          </cell>
        </row>
        <row r="220">
          <cell r="BW220" t="str">
            <v>0</v>
          </cell>
          <cell r="BX220" t="str">
            <v/>
          </cell>
          <cell r="BY220" t="str">
            <v>Çift</v>
          </cell>
        </row>
        <row r="221">
          <cell r="BW221" t="str">
            <v>0</v>
          </cell>
          <cell r="BX221" t="str">
            <v/>
          </cell>
          <cell r="BY221" t="str">
            <v>Tek</v>
          </cell>
        </row>
        <row r="222">
          <cell r="BW222" t="str">
            <v>0</v>
          </cell>
          <cell r="BX222" t="str">
            <v/>
          </cell>
          <cell r="BY222" t="str">
            <v>Çift</v>
          </cell>
        </row>
        <row r="223">
          <cell r="BW223" t="str">
            <v>0</v>
          </cell>
          <cell r="BX223" t="str">
            <v/>
          </cell>
          <cell r="BY223" t="str">
            <v>Tek</v>
          </cell>
        </row>
        <row r="224">
          <cell r="BW224" t="str">
            <v>0</v>
          </cell>
          <cell r="BX224" t="str">
            <v/>
          </cell>
          <cell r="BY224" t="str">
            <v>Çift</v>
          </cell>
        </row>
        <row r="225">
          <cell r="BW225" t="str">
            <v>0</v>
          </cell>
          <cell r="BX225" t="str">
            <v/>
          </cell>
          <cell r="BY225" t="str">
            <v>Tek</v>
          </cell>
        </row>
        <row r="226">
          <cell r="BW226" t="str">
            <v>0</v>
          </cell>
          <cell r="BX226" t="str">
            <v/>
          </cell>
          <cell r="BY226" t="str">
            <v>Çift</v>
          </cell>
        </row>
        <row r="227">
          <cell r="BW227" t="str">
            <v>0</v>
          </cell>
          <cell r="BX227" t="str">
            <v/>
          </cell>
          <cell r="BY227" t="str">
            <v>Tek</v>
          </cell>
        </row>
        <row r="228">
          <cell r="BW228" t="str">
            <v>0</v>
          </cell>
          <cell r="BX228" t="str">
            <v/>
          </cell>
          <cell r="BY228" t="str">
            <v>Çift</v>
          </cell>
        </row>
        <row r="229">
          <cell r="BW229" t="str">
            <v>0</v>
          </cell>
          <cell r="BX229" t="str">
            <v/>
          </cell>
          <cell r="BY229" t="str">
            <v>Tek</v>
          </cell>
        </row>
        <row r="230">
          <cell r="BW230" t="str">
            <v>0</v>
          </cell>
          <cell r="BX230" t="str">
            <v/>
          </cell>
          <cell r="BY230" t="str">
            <v>Çift</v>
          </cell>
        </row>
        <row r="231">
          <cell r="BW231" t="str">
            <v>0</v>
          </cell>
          <cell r="BX231" t="str">
            <v/>
          </cell>
          <cell r="BY231" t="str">
            <v>Tek</v>
          </cell>
        </row>
        <row r="232">
          <cell r="BW232" t="str">
            <v>0</v>
          </cell>
          <cell r="BX232" t="str">
            <v/>
          </cell>
          <cell r="BY232" t="str">
            <v>Çift</v>
          </cell>
        </row>
        <row r="233">
          <cell r="BW233" t="str">
            <v>0</v>
          </cell>
          <cell r="BX233" t="str">
            <v/>
          </cell>
          <cell r="BY233" t="str">
            <v>Tek</v>
          </cell>
        </row>
        <row r="234">
          <cell r="BW234" t="str">
            <v>0</v>
          </cell>
          <cell r="BX234" t="str">
            <v/>
          </cell>
          <cell r="BY234" t="str">
            <v>Çift</v>
          </cell>
        </row>
        <row r="235">
          <cell r="BW235" t="str">
            <v>0</v>
          </cell>
          <cell r="BX235" t="str">
            <v/>
          </cell>
          <cell r="BY235" t="str">
            <v>Tek</v>
          </cell>
        </row>
        <row r="236">
          <cell r="BW236" t="str">
            <v>0</v>
          </cell>
          <cell r="BX236" t="str">
            <v/>
          </cell>
          <cell r="BY236" t="str">
            <v>Çift</v>
          </cell>
        </row>
        <row r="237">
          <cell r="BW237" t="str">
            <v>0</v>
          </cell>
          <cell r="BX237" t="str">
            <v/>
          </cell>
          <cell r="BY237" t="str">
            <v>Tek</v>
          </cell>
        </row>
        <row r="238">
          <cell r="BW238" t="str">
            <v>0</v>
          </cell>
          <cell r="BX238" t="str">
            <v/>
          </cell>
          <cell r="BY238" t="str">
            <v>Çift</v>
          </cell>
        </row>
        <row r="239">
          <cell r="BW239" t="str">
            <v>0</v>
          </cell>
          <cell r="BX239" t="str">
            <v/>
          </cell>
          <cell r="BY239" t="str">
            <v>Tek</v>
          </cell>
        </row>
        <row r="240">
          <cell r="BW240" t="str">
            <v>0</v>
          </cell>
          <cell r="BX240" t="str">
            <v/>
          </cell>
          <cell r="BY240" t="str">
            <v>Çift</v>
          </cell>
        </row>
        <row r="241">
          <cell r="BW241" t="str">
            <v>0</v>
          </cell>
          <cell r="BX241" t="str">
            <v/>
          </cell>
          <cell r="BY241" t="str">
            <v>Tek</v>
          </cell>
        </row>
        <row r="242">
          <cell r="BW242" t="str">
            <v>0</v>
          </cell>
          <cell r="BX242" t="str">
            <v/>
          </cell>
          <cell r="BY242" t="str">
            <v>Çift</v>
          </cell>
        </row>
        <row r="243">
          <cell r="BW243" t="str">
            <v>0</v>
          </cell>
          <cell r="BX243" t="str">
            <v/>
          </cell>
          <cell r="BY243" t="str">
            <v>Tek</v>
          </cell>
        </row>
        <row r="244">
          <cell r="BW244" t="str">
            <v>0</v>
          </cell>
          <cell r="BX244" t="str">
            <v/>
          </cell>
          <cell r="BY244" t="str">
            <v>Çift</v>
          </cell>
        </row>
        <row r="245">
          <cell r="BW245" t="str">
            <v>0</v>
          </cell>
          <cell r="BX245" t="str">
            <v/>
          </cell>
          <cell r="BY245" t="str">
            <v>Tek</v>
          </cell>
        </row>
        <row r="246">
          <cell r="BW246" t="str">
            <v>0</v>
          </cell>
          <cell r="BX246" t="str">
            <v/>
          </cell>
          <cell r="BY246" t="str">
            <v>Çift</v>
          </cell>
        </row>
        <row r="247">
          <cell r="BW247" t="str">
            <v>0</v>
          </cell>
          <cell r="BX247" t="str">
            <v/>
          </cell>
          <cell r="BY247" t="str">
            <v>Tek</v>
          </cell>
        </row>
        <row r="248">
          <cell r="BW248" t="str">
            <v>0</v>
          </cell>
          <cell r="BX248" t="str">
            <v/>
          </cell>
          <cell r="BY248" t="str">
            <v>Çift</v>
          </cell>
        </row>
        <row r="249">
          <cell r="BW249" t="str">
            <v>0</v>
          </cell>
          <cell r="BX249" t="str">
            <v/>
          </cell>
          <cell r="BY249" t="str">
            <v>Tek</v>
          </cell>
        </row>
        <row r="250">
          <cell r="BW250" t="str">
            <v>0</v>
          </cell>
          <cell r="BX250" t="str">
            <v/>
          </cell>
          <cell r="BY250" t="str">
            <v>Çift</v>
          </cell>
        </row>
        <row r="251">
          <cell r="BW251" t="str">
            <v>0</v>
          </cell>
          <cell r="BX251" t="str">
            <v/>
          </cell>
          <cell r="BY251" t="str">
            <v>Tek</v>
          </cell>
        </row>
        <row r="252">
          <cell r="BW252" t="str">
            <v>0</v>
          </cell>
          <cell r="BX252" t="str">
            <v/>
          </cell>
          <cell r="BY252" t="str">
            <v>Çift</v>
          </cell>
        </row>
        <row r="253">
          <cell r="BW253" t="str">
            <v>0</v>
          </cell>
          <cell r="BX253" t="str">
            <v/>
          </cell>
          <cell r="BY253" t="str">
            <v>Tek</v>
          </cell>
        </row>
        <row r="254">
          <cell r="BW254" t="str">
            <v>0</v>
          </cell>
          <cell r="BX254" t="str">
            <v/>
          </cell>
          <cell r="BY254" t="str">
            <v>Çift</v>
          </cell>
        </row>
        <row r="255">
          <cell r="BW255" t="str">
            <v>0</v>
          </cell>
          <cell r="BX255" t="str">
            <v/>
          </cell>
          <cell r="BY255" t="str">
            <v>Tek</v>
          </cell>
        </row>
        <row r="256">
          <cell r="BW256" t="str">
            <v>0</v>
          </cell>
          <cell r="BX256" t="str">
            <v/>
          </cell>
          <cell r="BY256" t="str">
            <v>Çift</v>
          </cell>
        </row>
        <row r="257">
          <cell r="BW257" t="str">
            <v>0</v>
          </cell>
          <cell r="BX257" t="str">
            <v/>
          </cell>
          <cell r="BY257" t="str">
            <v>Tek</v>
          </cell>
        </row>
        <row r="258">
          <cell r="BW258" t="str">
            <v>0</v>
          </cell>
          <cell r="BX258" t="str">
            <v/>
          </cell>
          <cell r="BY258" t="str">
            <v>Çift</v>
          </cell>
        </row>
        <row r="259">
          <cell r="BW259" t="str">
            <v>0</v>
          </cell>
          <cell r="BX259" t="str">
            <v/>
          </cell>
          <cell r="BY259" t="str">
            <v>Tek</v>
          </cell>
        </row>
        <row r="260">
          <cell r="BW260" t="str">
            <v>0</v>
          </cell>
          <cell r="BX260" t="str">
            <v/>
          </cell>
          <cell r="BY260" t="str">
            <v>Çift</v>
          </cell>
        </row>
        <row r="261">
          <cell r="BW261" t="str">
            <v>0</v>
          </cell>
          <cell r="BX261" t="str">
            <v/>
          </cell>
          <cell r="BY261" t="str">
            <v>Tek</v>
          </cell>
        </row>
        <row r="262">
          <cell r="BW262" t="str">
            <v>0</v>
          </cell>
          <cell r="BX262" t="str">
            <v/>
          </cell>
          <cell r="BY262" t="str">
            <v>Çift</v>
          </cell>
        </row>
        <row r="263">
          <cell r="BW263" t="str">
            <v>0</v>
          </cell>
          <cell r="BX263" t="str">
            <v/>
          </cell>
          <cell r="BY263" t="str">
            <v>Tek</v>
          </cell>
        </row>
        <row r="264">
          <cell r="BW264" t="str">
            <v>0</v>
          </cell>
          <cell r="BX264" t="str">
            <v/>
          </cell>
          <cell r="BY264" t="str">
            <v>Çift</v>
          </cell>
        </row>
        <row r="265">
          <cell r="BW265" t="str">
            <v>0</v>
          </cell>
          <cell r="BX265" t="str">
            <v/>
          </cell>
          <cell r="BY265" t="str">
            <v>Tek</v>
          </cell>
        </row>
        <row r="266">
          <cell r="BW266" t="str">
            <v>0</v>
          </cell>
          <cell r="BX266" t="str">
            <v/>
          </cell>
          <cell r="BY266" t="str">
            <v>Çift</v>
          </cell>
        </row>
        <row r="267">
          <cell r="BW267" t="str">
            <v>0</v>
          </cell>
          <cell r="BX267" t="str">
            <v/>
          </cell>
          <cell r="BY267" t="str">
            <v>Tek</v>
          </cell>
        </row>
        <row r="268">
          <cell r="BW268" t="str">
            <v>0</v>
          </cell>
          <cell r="BX268" t="str">
            <v/>
          </cell>
          <cell r="BY268" t="str">
            <v>Çift</v>
          </cell>
        </row>
        <row r="269">
          <cell r="BW269" t="str">
            <v>0</v>
          </cell>
          <cell r="BX269" t="str">
            <v/>
          </cell>
          <cell r="BY269" t="str">
            <v>Tek</v>
          </cell>
        </row>
        <row r="270">
          <cell r="BW270" t="str">
            <v>0</v>
          </cell>
          <cell r="BX270" t="str">
            <v/>
          </cell>
          <cell r="BY270" t="str">
            <v>Çift</v>
          </cell>
        </row>
        <row r="271">
          <cell r="BW271" t="str">
            <v>0</v>
          </cell>
          <cell r="BX271" t="str">
            <v/>
          </cell>
          <cell r="BY271" t="str">
            <v>Tek</v>
          </cell>
        </row>
        <row r="272">
          <cell r="BW272" t="str">
            <v>0</v>
          </cell>
          <cell r="BX272" t="str">
            <v/>
          </cell>
          <cell r="BY272" t="str">
            <v>Çift</v>
          </cell>
        </row>
        <row r="273">
          <cell r="BW273" t="str">
            <v>0</v>
          </cell>
          <cell r="BX273" t="str">
            <v/>
          </cell>
          <cell r="BY273" t="str">
            <v>Tek</v>
          </cell>
        </row>
        <row r="274">
          <cell r="BW274" t="str">
            <v>0</v>
          </cell>
          <cell r="BX274" t="str">
            <v/>
          </cell>
          <cell r="BY274" t="str">
            <v>Çift</v>
          </cell>
        </row>
        <row r="275">
          <cell r="BW275" t="str">
            <v>0</v>
          </cell>
          <cell r="BX275" t="str">
            <v/>
          </cell>
          <cell r="BY275" t="str">
            <v>Tek</v>
          </cell>
        </row>
        <row r="276">
          <cell r="BW276" t="str">
            <v>0</v>
          </cell>
          <cell r="BX276" t="str">
            <v/>
          </cell>
          <cell r="BY276" t="str">
            <v>Çift</v>
          </cell>
        </row>
        <row r="277">
          <cell r="BW277" t="str">
            <v>0</v>
          </cell>
          <cell r="BX277" t="str">
            <v/>
          </cell>
          <cell r="BY277" t="str">
            <v>Tek</v>
          </cell>
        </row>
        <row r="278">
          <cell r="BW278" t="str">
            <v>0</v>
          </cell>
          <cell r="BX278" t="str">
            <v/>
          </cell>
          <cell r="BY278" t="str">
            <v>Çift</v>
          </cell>
        </row>
        <row r="279">
          <cell r="BW279" t="str">
            <v>0</v>
          </cell>
          <cell r="BX279" t="str">
            <v/>
          </cell>
          <cell r="BY279" t="str">
            <v>Tek</v>
          </cell>
        </row>
        <row r="280">
          <cell r="BW280" t="str">
            <v>0</v>
          </cell>
          <cell r="BX280" t="str">
            <v/>
          </cell>
          <cell r="BY280" t="str">
            <v>Çift</v>
          </cell>
        </row>
        <row r="281">
          <cell r="BW281" t="str">
            <v>0</v>
          </cell>
          <cell r="BX281" t="str">
            <v/>
          </cell>
          <cell r="BY281" t="str">
            <v>Tek</v>
          </cell>
        </row>
        <row r="282">
          <cell r="BW282" t="str">
            <v>0</v>
          </cell>
          <cell r="BX282" t="str">
            <v/>
          </cell>
          <cell r="BY282" t="str">
            <v>Çift</v>
          </cell>
        </row>
        <row r="283">
          <cell r="BW283" t="str">
            <v>0</v>
          </cell>
          <cell r="BX283" t="str">
            <v/>
          </cell>
          <cell r="BY283" t="str">
            <v>Tek</v>
          </cell>
        </row>
        <row r="284">
          <cell r="BW284" t="str">
            <v>0</v>
          </cell>
          <cell r="BX284" t="str">
            <v/>
          </cell>
          <cell r="BY284" t="str">
            <v>Çift</v>
          </cell>
        </row>
        <row r="285">
          <cell r="BW285" t="str">
            <v>0</v>
          </cell>
          <cell r="BX285" t="str">
            <v/>
          </cell>
          <cell r="BY285" t="str">
            <v>Tek</v>
          </cell>
        </row>
        <row r="286">
          <cell r="BW286" t="str">
            <v>0</v>
          </cell>
          <cell r="BX286" t="str">
            <v/>
          </cell>
          <cell r="BY286" t="str">
            <v>Çift</v>
          </cell>
        </row>
        <row r="287">
          <cell r="BW287" t="str">
            <v>0</v>
          </cell>
          <cell r="BX287" t="str">
            <v/>
          </cell>
          <cell r="BY287" t="str">
            <v>Tek</v>
          </cell>
        </row>
        <row r="288">
          <cell r="BW288" t="str">
            <v>0</v>
          </cell>
          <cell r="BX288" t="str">
            <v/>
          </cell>
          <cell r="BY288" t="str">
            <v>Çift</v>
          </cell>
        </row>
        <row r="289">
          <cell r="BW289" t="str">
            <v>0</v>
          </cell>
          <cell r="BX289" t="str">
            <v/>
          </cell>
          <cell r="BY289" t="str">
            <v>Tek</v>
          </cell>
        </row>
        <row r="290">
          <cell r="BW290" t="str">
            <v>0</v>
          </cell>
          <cell r="BX290" t="str">
            <v/>
          </cell>
          <cell r="BY290" t="str">
            <v>Çift</v>
          </cell>
        </row>
        <row r="291">
          <cell r="BW291" t="str">
            <v>0</v>
          </cell>
          <cell r="BX291" t="str">
            <v/>
          </cell>
          <cell r="BY291" t="str">
            <v>Tek</v>
          </cell>
        </row>
        <row r="292">
          <cell r="BW292" t="str">
            <v>0</v>
          </cell>
          <cell r="BX292" t="str">
            <v/>
          </cell>
          <cell r="BY292" t="str">
            <v>Çift</v>
          </cell>
        </row>
        <row r="293">
          <cell r="BW293" t="str">
            <v>0</v>
          </cell>
          <cell r="BX293" t="str">
            <v/>
          </cell>
          <cell r="BY293" t="str">
            <v>Tek</v>
          </cell>
        </row>
        <row r="294">
          <cell r="BW294" t="str">
            <v>0</v>
          </cell>
          <cell r="BX294" t="str">
            <v/>
          </cell>
          <cell r="BY294" t="str">
            <v>Çift</v>
          </cell>
        </row>
        <row r="295">
          <cell r="BW295" t="str">
            <v>0</v>
          </cell>
          <cell r="BX295" t="str">
            <v/>
          </cell>
          <cell r="BY295" t="str">
            <v>Tek</v>
          </cell>
        </row>
        <row r="296">
          <cell r="BW296" t="str">
            <v>0</v>
          </cell>
          <cell r="BX296" t="str">
            <v/>
          </cell>
          <cell r="BY296" t="str">
            <v>Çift</v>
          </cell>
        </row>
        <row r="297">
          <cell r="BW297" t="str">
            <v>0</v>
          </cell>
          <cell r="BX297" t="str">
            <v/>
          </cell>
          <cell r="BY297" t="str">
            <v>Tek</v>
          </cell>
        </row>
        <row r="298">
          <cell r="BW298" t="str">
            <v>0</v>
          </cell>
          <cell r="BX298" t="str">
            <v/>
          </cell>
          <cell r="BY298" t="str">
            <v>Çift</v>
          </cell>
        </row>
        <row r="299">
          <cell r="BW299" t="str">
            <v>0</v>
          </cell>
          <cell r="BX299" t="str">
            <v/>
          </cell>
          <cell r="BY299" t="str">
            <v>Tek</v>
          </cell>
        </row>
        <row r="300">
          <cell r="BW300" t="str">
            <v>0</v>
          </cell>
          <cell r="BX300" t="str">
            <v/>
          </cell>
          <cell r="BY300" t="str">
            <v>Çift</v>
          </cell>
        </row>
        <row r="301">
          <cell r="BW301" t="str">
            <v>0</v>
          </cell>
          <cell r="BX301" t="str">
            <v/>
          </cell>
          <cell r="BY301" t="str">
            <v>Tek</v>
          </cell>
        </row>
        <row r="302">
          <cell r="BW302" t="str">
            <v>0</v>
          </cell>
          <cell r="BX302" t="str">
            <v/>
          </cell>
          <cell r="BY302" t="str">
            <v>Çift</v>
          </cell>
        </row>
        <row r="303">
          <cell r="BW303" t="str">
            <v>0</v>
          </cell>
          <cell r="BX303" t="str">
            <v/>
          </cell>
          <cell r="BY303" t="str">
            <v>Tek</v>
          </cell>
        </row>
        <row r="304">
          <cell r="BW304" t="str">
            <v>0</v>
          </cell>
          <cell r="BX304" t="str">
            <v/>
          </cell>
          <cell r="BY304" t="str">
            <v>Çift</v>
          </cell>
        </row>
        <row r="305">
          <cell r="BW305" t="str">
            <v>0</v>
          </cell>
          <cell r="BX305" t="str">
            <v/>
          </cell>
          <cell r="BY305" t="str">
            <v>Tek</v>
          </cell>
        </row>
        <row r="306">
          <cell r="BW306" t="str">
            <v>0</v>
          </cell>
          <cell r="BX306" t="str">
            <v/>
          </cell>
          <cell r="BY306" t="str">
            <v>Çift</v>
          </cell>
        </row>
        <row r="307">
          <cell r="BW307" t="str">
            <v>0</v>
          </cell>
          <cell r="BX307" t="str">
            <v/>
          </cell>
          <cell r="BY307" t="str">
            <v>Tek</v>
          </cell>
        </row>
        <row r="308">
          <cell r="BW308" t="str">
            <v>0</v>
          </cell>
          <cell r="BX308" t="str">
            <v/>
          </cell>
          <cell r="BY308" t="str">
            <v>Çift</v>
          </cell>
        </row>
        <row r="309">
          <cell r="BW309" t="str">
            <v>0</v>
          </cell>
          <cell r="BX309" t="str">
            <v/>
          </cell>
          <cell r="BY309" t="str">
            <v>Tek</v>
          </cell>
        </row>
        <row r="310">
          <cell r="BW310" t="str">
            <v>0</v>
          </cell>
          <cell r="BX310" t="str">
            <v/>
          </cell>
          <cell r="BY310" t="str">
            <v>Çift</v>
          </cell>
        </row>
        <row r="311">
          <cell r="BW311" t="str">
            <v>0</v>
          </cell>
          <cell r="BX311" t="str">
            <v/>
          </cell>
          <cell r="BY311" t="str">
            <v>Tek</v>
          </cell>
        </row>
        <row r="312">
          <cell r="BW312" t="str">
            <v>0</v>
          </cell>
          <cell r="BX312" t="str">
            <v/>
          </cell>
          <cell r="BY312" t="str">
            <v>Çift</v>
          </cell>
        </row>
        <row r="313">
          <cell r="BW313" t="str">
            <v>0</v>
          </cell>
          <cell r="BX313" t="str">
            <v/>
          </cell>
          <cell r="BY313" t="str">
            <v>Tek</v>
          </cell>
        </row>
        <row r="314">
          <cell r="BW314" t="str">
            <v>0</v>
          </cell>
          <cell r="BX314" t="str">
            <v/>
          </cell>
          <cell r="BY314" t="str">
            <v>Çift</v>
          </cell>
        </row>
        <row r="315">
          <cell r="BW315" t="str">
            <v>0</v>
          </cell>
          <cell r="BX315" t="str">
            <v/>
          </cell>
          <cell r="BY315" t="str">
            <v>Tek</v>
          </cell>
        </row>
        <row r="316">
          <cell r="BW316" t="str">
            <v>0</v>
          </cell>
          <cell r="BX316" t="str">
            <v/>
          </cell>
          <cell r="BY316" t="str">
            <v>Çift</v>
          </cell>
        </row>
        <row r="317">
          <cell r="BW317" t="str">
            <v>0</v>
          </cell>
          <cell r="BX317" t="str">
            <v/>
          </cell>
          <cell r="BY317" t="str">
            <v>Tek</v>
          </cell>
        </row>
        <row r="318">
          <cell r="BW318" t="str">
            <v>0</v>
          </cell>
          <cell r="BX318" t="str">
            <v/>
          </cell>
          <cell r="BY318" t="str">
            <v>Çift</v>
          </cell>
        </row>
        <row r="319">
          <cell r="BW319" t="str">
            <v>0</v>
          </cell>
          <cell r="BX319" t="str">
            <v/>
          </cell>
          <cell r="BY319" t="str">
            <v>Tek</v>
          </cell>
        </row>
        <row r="320">
          <cell r="BW320" t="str">
            <v>0</v>
          </cell>
          <cell r="BX320" t="str">
            <v/>
          </cell>
          <cell r="BY320" t="str">
            <v>Çift</v>
          </cell>
        </row>
        <row r="321">
          <cell r="BW321" t="str">
            <v>0</v>
          </cell>
          <cell r="BX321" t="str">
            <v/>
          </cell>
          <cell r="BY321" t="str">
            <v>Tek</v>
          </cell>
        </row>
        <row r="322">
          <cell r="BW322" t="str">
            <v>0</v>
          </cell>
          <cell r="BX322" t="str">
            <v/>
          </cell>
          <cell r="BY322" t="str">
            <v>Çift</v>
          </cell>
        </row>
        <row r="323">
          <cell r="BW323" t="str">
            <v>0</v>
          </cell>
          <cell r="BX323" t="str">
            <v/>
          </cell>
          <cell r="BY323" t="str">
            <v>Tek</v>
          </cell>
        </row>
        <row r="324">
          <cell r="BW324" t="str">
            <v>0</v>
          </cell>
          <cell r="BX324" t="str">
            <v/>
          </cell>
          <cell r="BY324" t="str">
            <v>Çift</v>
          </cell>
        </row>
        <row r="325">
          <cell r="BW325" t="str">
            <v>0</v>
          </cell>
          <cell r="BX325" t="str">
            <v/>
          </cell>
          <cell r="BY325" t="str">
            <v>Tek</v>
          </cell>
        </row>
        <row r="326">
          <cell r="BW326" t="str">
            <v>0</v>
          </cell>
          <cell r="BX326" t="str">
            <v/>
          </cell>
          <cell r="BY326" t="str">
            <v>Çift</v>
          </cell>
        </row>
        <row r="327">
          <cell r="BW327" t="str">
            <v>0</v>
          </cell>
          <cell r="BX327" t="str">
            <v/>
          </cell>
          <cell r="BY327" t="str">
            <v>Tek</v>
          </cell>
        </row>
        <row r="328">
          <cell r="BW328" t="str">
            <v>0</v>
          </cell>
          <cell r="BX328" t="str">
            <v/>
          </cell>
          <cell r="BY328" t="str">
            <v>Çift</v>
          </cell>
        </row>
        <row r="329">
          <cell r="BW329" t="str">
            <v>0</v>
          </cell>
          <cell r="BX329" t="str">
            <v/>
          </cell>
          <cell r="BY329" t="str">
            <v>Tek</v>
          </cell>
        </row>
        <row r="330">
          <cell r="BW330" t="str">
            <v>0</v>
          </cell>
          <cell r="BX330" t="str">
            <v/>
          </cell>
          <cell r="BY330" t="str">
            <v>Çift</v>
          </cell>
        </row>
        <row r="331">
          <cell r="BW331" t="str">
            <v>0</v>
          </cell>
          <cell r="BX331" t="str">
            <v/>
          </cell>
          <cell r="BY331" t="str">
            <v>Tek</v>
          </cell>
        </row>
        <row r="332">
          <cell r="BW332" t="str">
            <v>0</v>
          </cell>
          <cell r="BX332" t="str">
            <v/>
          </cell>
          <cell r="BY332" t="str">
            <v>Çift</v>
          </cell>
        </row>
        <row r="333">
          <cell r="BW333" t="str">
            <v>0</v>
          </cell>
          <cell r="BX333" t="str">
            <v/>
          </cell>
          <cell r="BY333" t="str">
            <v>Tek</v>
          </cell>
        </row>
        <row r="334">
          <cell r="BW334" t="str">
            <v>0</v>
          </cell>
          <cell r="BX334" t="str">
            <v/>
          </cell>
          <cell r="BY334" t="str">
            <v>Çift</v>
          </cell>
        </row>
        <row r="335">
          <cell r="BW335" t="str">
            <v>0</v>
          </cell>
          <cell r="BX335" t="str">
            <v/>
          </cell>
          <cell r="BY335" t="str">
            <v>Tek</v>
          </cell>
        </row>
        <row r="336">
          <cell r="BW336" t="str">
            <v>0</v>
          </cell>
          <cell r="BX336" t="str">
            <v/>
          </cell>
          <cell r="BY336" t="str">
            <v>Çift</v>
          </cell>
        </row>
        <row r="337">
          <cell r="BW337" t="str">
            <v>0</v>
          </cell>
          <cell r="BX337" t="str">
            <v/>
          </cell>
          <cell r="BY337" t="str">
            <v>Tek</v>
          </cell>
        </row>
        <row r="338">
          <cell r="BW338" t="str">
            <v>0</v>
          </cell>
          <cell r="BX338" t="str">
            <v/>
          </cell>
          <cell r="BY338" t="str">
            <v>Çift</v>
          </cell>
        </row>
        <row r="339">
          <cell r="BW339" t="str">
            <v>0</v>
          </cell>
          <cell r="BX339" t="str">
            <v/>
          </cell>
          <cell r="BY339" t="str">
            <v>Tek</v>
          </cell>
        </row>
        <row r="340">
          <cell r="BW340" t="str">
            <v>0</v>
          </cell>
          <cell r="BX340" t="str">
            <v/>
          </cell>
          <cell r="BY340" t="str">
            <v>Çift</v>
          </cell>
        </row>
        <row r="341">
          <cell r="BW341" t="str">
            <v>0</v>
          </cell>
          <cell r="BX341" t="str">
            <v/>
          </cell>
          <cell r="BY341" t="str">
            <v>Tek</v>
          </cell>
        </row>
        <row r="342">
          <cell r="BW342" t="str">
            <v>0</v>
          </cell>
          <cell r="BX342" t="str">
            <v/>
          </cell>
          <cell r="BY342" t="str">
            <v>Çift</v>
          </cell>
        </row>
        <row r="343">
          <cell r="BW343" t="str">
            <v>0</v>
          </cell>
          <cell r="BX343" t="str">
            <v/>
          </cell>
          <cell r="BY343" t="str">
            <v>Tek</v>
          </cell>
        </row>
        <row r="344">
          <cell r="BW344" t="str">
            <v>0</v>
          </cell>
          <cell r="BX344" t="str">
            <v/>
          </cell>
          <cell r="BY344" t="str">
            <v>Çift</v>
          </cell>
        </row>
        <row r="345">
          <cell r="BW345" t="str">
            <v>0</v>
          </cell>
          <cell r="BX345" t="str">
            <v/>
          </cell>
          <cell r="BY345" t="str">
            <v>Tek</v>
          </cell>
        </row>
        <row r="346">
          <cell r="BW346" t="str">
            <v>0</v>
          </cell>
          <cell r="BX346" t="str">
            <v/>
          </cell>
          <cell r="BY346" t="str">
            <v>Çift</v>
          </cell>
        </row>
        <row r="347">
          <cell r="BW347" t="str">
            <v>0</v>
          </cell>
          <cell r="BX347" t="str">
            <v/>
          </cell>
          <cell r="BY347" t="str">
            <v>Tek</v>
          </cell>
        </row>
        <row r="348">
          <cell r="BW348" t="str">
            <v>0</v>
          </cell>
          <cell r="BX348" t="str">
            <v/>
          </cell>
          <cell r="BY348" t="str">
            <v>Çift</v>
          </cell>
        </row>
        <row r="349">
          <cell r="BW349" t="str">
            <v>0</v>
          </cell>
          <cell r="BX349" t="str">
            <v/>
          </cell>
          <cell r="BY349" t="str">
            <v>Tek</v>
          </cell>
        </row>
        <row r="350">
          <cell r="BW350" t="str">
            <v>0</v>
          </cell>
          <cell r="BX350" t="str">
            <v/>
          </cell>
          <cell r="BY350" t="str">
            <v>Çift</v>
          </cell>
        </row>
        <row r="351">
          <cell r="BW351" t="str">
            <v>0</v>
          </cell>
          <cell r="BX351" t="str">
            <v/>
          </cell>
          <cell r="BY351" t="str">
            <v>Tek</v>
          </cell>
        </row>
        <row r="352">
          <cell r="BW352" t="str">
            <v>0</v>
          </cell>
          <cell r="BX352" t="str">
            <v/>
          </cell>
          <cell r="BY352" t="str">
            <v>Çift</v>
          </cell>
        </row>
        <row r="353">
          <cell r="BW353" t="str">
            <v>0</v>
          </cell>
          <cell r="BX353" t="str">
            <v/>
          </cell>
          <cell r="BY353" t="str">
            <v>Tek</v>
          </cell>
        </row>
        <row r="354">
          <cell r="BW354" t="str">
            <v>0</v>
          </cell>
          <cell r="BX354" t="str">
            <v/>
          </cell>
          <cell r="BY354" t="str">
            <v>Çift</v>
          </cell>
        </row>
        <row r="355">
          <cell r="BW355" t="str">
            <v>0</v>
          </cell>
          <cell r="BX355" t="str">
            <v/>
          </cell>
          <cell r="BY355" t="str">
            <v>Tek</v>
          </cell>
        </row>
        <row r="356">
          <cell r="BW356" t="str">
            <v>0</v>
          </cell>
          <cell r="BX356" t="str">
            <v/>
          </cell>
          <cell r="BY356" t="str">
            <v>Çift</v>
          </cell>
        </row>
        <row r="357">
          <cell r="BW357" t="str">
            <v>0</v>
          </cell>
          <cell r="BX357" t="str">
            <v/>
          </cell>
          <cell r="BY357" t="str">
            <v>Tek</v>
          </cell>
        </row>
        <row r="358">
          <cell r="BW358" t="str">
            <v>0</v>
          </cell>
          <cell r="BX358" t="str">
            <v/>
          </cell>
          <cell r="BY358" t="str">
            <v>Çift</v>
          </cell>
        </row>
        <row r="359">
          <cell r="BW359" t="str">
            <v>0</v>
          </cell>
          <cell r="BX359" t="str">
            <v/>
          </cell>
          <cell r="BY359" t="str">
            <v>Tek</v>
          </cell>
        </row>
        <row r="360">
          <cell r="BW360" t="str">
            <v>0</v>
          </cell>
          <cell r="BX360" t="str">
            <v/>
          </cell>
          <cell r="BY360" t="str">
            <v>Çift</v>
          </cell>
        </row>
        <row r="361">
          <cell r="BW361" t="str">
            <v>0</v>
          </cell>
          <cell r="BX361" t="str">
            <v/>
          </cell>
          <cell r="BY361" t="str">
            <v>Tek</v>
          </cell>
        </row>
        <row r="362">
          <cell r="BW362" t="str">
            <v>0</v>
          </cell>
          <cell r="BX362" t="str">
            <v/>
          </cell>
          <cell r="BY362" t="str">
            <v>Çift</v>
          </cell>
        </row>
        <row r="363">
          <cell r="BW363" t="str">
            <v>0</v>
          </cell>
          <cell r="BX363" t="str">
            <v/>
          </cell>
          <cell r="BY363" t="str">
            <v>Tek</v>
          </cell>
        </row>
        <row r="364">
          <cell r="BW364" t="str">
            <v>0</v>
          </cell>
          <cell r="BX364" t="str">
            <v/>
          </cell>
          <cell r="BY364" t="str">
            <v>Çift</v>
          </cell>
        </row>
        <row r="365">
          <cell r="BW365" t="str">
            <v>0</v>
          </cell>
          <cell r="BX365" t="str">
            <v/>
          </cell>
          <cell r="BY365" t="str">
            <v>Tek</v>
          </cell>
        </row>
        <row r="366">
          <cell r="BW366" t="str">
            <v>0</v>
          </cell>
          <cell r="BX366" t="str">
            <v/>
          </cell>
          <cell r="BY366" t="str">
            <v>Çift</v>
          </cell>
        </row>
        <row r="367">
          <cell r="BW367" t="str">
            <v>0</v>
          </cell>
          <cell r="BX367" t="str">
            <v/>
          </cell>
          <cell r="BY367" t="str">
            <v>Tek</v>
          </cell>
        </row>
        <row r="368">
          <cell r="BW368" t="str">
            <v>0</v>
          </cell>
          <cell r="BX368" t="str">
            <v/>
          </cell>
          <cell r="BY368" t="str">
            <v>Çift</v>
          </cell>
        </row>
        <row r="369">
          <cell r="BW369" t="str">
            <v>0</v>
          </cell>
          <cell r="BX369" t="str">
            <v/>
          </cell>
          <cell r="BY369" t="str">
            <v>Tek</v>
          </cell>
        </row>
        <row r="370">
          <cell r="BW370" t="str">
            <v>0</v>
          </cell>
          <cell r="BX370" t="str">
            <v/>
          </cell>
          <cell r="BY370" t="str">
            <v>Çift</v>
          </cell>
        </row>
        <row r="371">
          <cell r="BW371" t="str">
            <v>0</v>
          </cell>
          <cell r="BX371" t="str">
            <v/>
          </cell>
          <cell r="BY371" t="str">
            <v>Tek</v>
          </cell>
        </row>
        <row r="372">
          <cell r="BW372" t="str">
            <v>0</v>
          </cell>
          <cell r="BX372" t="str">
            <v/>
          </cell>
          <cell r="BY372" t="str">
            <v>Çift</v>
          </cell>
        </row>
        <row r="373">
          <cell r="BW373" t="str">
            <v>0</v>
          </cell>
          <cell r="BX373" t="str">
            <v/>
          </cell>
          <cell r="BY373" t="str">
            <v>Tek</v>
          </cell>
        </row>
        <row r="374">
          <cell r="BW374" t="str">
            <v>0</v>
          </cell>
          <cell r="BX374" t="str">
            <v/>
          </cell>
          <cell r="BY374" t="str">
            <v>Çift</v>
          </cell>
        </row>
        <row r="375">
          <cell r="BW375" t="str">
            <v>0</v>
          </cell>
          <cell r="BX375" t="str">
            <v/>
          </cell>
          <cell r="BY375" t="str">
            <v>Tek</v>
          </cell>
        </row>
        <row r="376">
          <cell r="BW376" t="str">
            <v>0</v>
          </cell>
          <cell r="BX376" t="str">
            <v/>
          </cell>
          <cell r="BY376" t="str">
            <v>Çift</v>
          </cell>
        </row>
        <row r="377">
          <cell r="BW377" t="str">
            <v>0</v>
          </cell>
          <cell r="BX377" t="str">
            <v/>
          </cell>
          <cell r="BY377" t="str">
            <v>Tek</v>
          </cell>
        </row>
        <row r="378">
          <cell r="BW378" t="str">
            <v>0</v>
          </cell>
          <cell r="BX378" t="str">
            <v/>
          </cell>
          <cell r="BY378" t="str">
            <v>Çift</v>
          </cell>
        </row>
        <row r="379">
          <cell r="BW379" t="str">
            <v>0</v>
          </cell>
          <cell r="BX379" t="str">
            <v/>
          </cell>
          <cell r="BY379" t="str">
            <v>Tek</v>
          </cell>
        </row>
        <row r="380">
          <cell r="BW380" t="str">
            <v>0</v>
          </cell>
          <cell r="BX380" t="str">
            <v/>
          </cell>
          <cell r="BY380" t="str">
            <v>Çift</v>
          </cell>
        </row>
        <row r="381">
          <cell r="BW381" t="str">
            <v>0</v>
          </cell>
          <cell r="BX381" t="str">
            <v/>
          </cell>
          <cell r="BY381" t="str">
            <v>Tek</v>
          </cell>
        </row>
        <row r="382">
          <cell r="BW382" t="str">
            <v>0</v>
          </cell>
          <cell r="BX382" t="str">
            <v/>
          </cell>
          <cell r="BY382" t="str">
            <v>Çift</v>
          </cell>
        </row>
        <row r="383">
          <cell r="BW383" t="str">
            <v>0</v>
          </cell>
          <cell r="BX383" t="str">
            <v/>
          </cell>
          <cell r="BY383" t="str">
            <v>Tek</v>
          </cell>
        </row>
        <row r="384">
          <cell r="BW384" t="str">
            <v>0</v>
          </cell>
          <cell r="BX384" t="str">
            <v/>
          </cell>
          <cell r="BY384" t="str">
            <v>Çift</v>
          </cell>
        </row>
        <row r="385">
          <cell r="BW385" t="str">
            <v>0</v>
          </cell>
          <cell r="BX385" t="str">
            <v/>
          </cell>
          <cell r="BY385" t="str">
            <v>Tek</v>
          </cell>
        </row>
        <row r="386">
          <cell r="BW386" t="str">
            <v>0</v>
          </cell>
          <cell r="BX386" t="str">
            <v/>
          </cell>
          <cell r="BY386" t="str">
            <v>Çift</v>
          </cell>
        </row>
        <row r="387">
          <cell r="BW387" t="str">
            <v>0</v>
          </cell>
          <cell r="BX387" t="str">
            <v/>
          </cell>
          <cell r="BY387" t="str">
            <v>Tek</v>
          </cell>
        </row>
        <row r="388">
          <cell r="BW388" t="str">
            <v>0</v>
          </cell>
          <cell r="BX388" t="str">
            <v/>
          </cell>
          <cell r="BY388" t="str">
            <v>Çift</v>
          </cell>
        </row>
        <row r="389">
          <cell r="BW389" t="str">
            <v>0</v>
          </cell>
          <cell r="BX389" t="str">
            <v/>
          </cell>
          <cell r="BY389" t="str">
            <v>Tek</v>
          </cell>
        </row>
        <row r="390">
          <cell r="BW390" t="str">
            <v>0</v>
          </cell>
          <cell r="BX390" t="str">
            <v/>
          </cell>
          <cell r="BY390" t="str">
            <v>Çift</v>
          </cell>
        </row>
        <row r="391">
          <cell r="BW391" t="str">
            <v>0</v>
          </cell>
          <cell r="BX391" t="str">
            <v/>
          </cell>
          <cell r="BY391" t="str">
            <v>Tek</v>
          </cell>
        </row>
        <row r="392">
          <cell r="BW392" t="str">
            <v>0</v>
          </cell>
          <cell r="BX392" t="str">
            <v/>
          </cell>
          <cell r="BY392" t="str">
            <v>Çift</v>
          </cell>
        </row>
        <row r="393">
          <cell r="BW393" t="str">
            <v>0</v>
          </cell>
          <cell r="BX393" t="str">
            <v/>
          </cell>
          <cell r="BY393" t="str">
            <v>Tek</v>
          </cell>
        </row>
        <row r="394">
          <cell r="BW394" t="str">
            <v>0</v>
          </cell>
          <cell r="BX394" t="str">
            <v/>
          </cell>
          <cell r="BY394" t="str">
            <v>Çift</v>
          </cell>
        </row>
        <row r="395">
          <cell r="BW395" t="str">
            <v>0</v>
          </cell>
          <cell r="BX395" t="str">
            <v/>
          </cell>
          <cell r="BY395" t="str">
            <v>Tek</v>
          </cell>
        </row>
        <row r="396">
          <cell r="BW396" t="str">
            <v>0</v>
          </cell>
          <cell r="BX396" t="str">
            <v/>
          </cell>
          <cell r="BY396" t="str">
            <v>Çift</v>
          </cell>
        </row>
        <row r="397">
          <cell r="BW397" t="str">
            <v>0</v>
          </cell>
          <cell r="BX397" t="str">
            <v/>
          </cell>
          <cell r="BY397" t="str">
            <v>Tek</v>
          </cell>
        </row>
        <row r="398">
          <cell r="BW398" t="str">
            <v>0</v>
          </cell>
          <cell r="BX398" t="str">
            <v/>
          </cell>
          <cell r="BY398" t="str">
            <v>Çift</v>
          </cell>
        </row>
        <row r="399">
          <cell r="BW399" t="str">
            <v>0</v>
          </cell>
          <cell r="BX399" t="str">
            <v/>
          </cell>
          <cell r="BY399" t="str">
            <v>Tek</v>
          </cell>
        </row>
        <row r="400">
          <cell r="BW400" t="str">
            <v>0</v>
          </cell>
          <cell r="BX400" t="str">
            <v/>
          </cell>
          <cell r="BY400" t="str">
            <v>Çift</v>
          </cell>
        </row>
        <row r="401">
          <cell r="BW401" t="str">
            <v>0</v>
          </cell>
          <cell r="BX401" t="str">
            <v/>
          </cell>
          <cell r="BY401" t="str">
            <v>Tek</v>
          </cell>
        </row>
        <row r="402">
          <cell r="BW402" t="str">
            <v>0</v>
          </cell>
          <cell r="BX402" t="str">
            <v/>
          </cell>
          <cell r="BY402" t="str">
            <v>Çift</v>
          </cell>
        </row>
        <row r="403">
          <cell r="BW403" t="str">
            <v>0</v>
          </cell>
          <cell r="BX403" t="str">
            <v/>
          </cell>
          <cell r="BY403" t="str">
            <v>Tek</v>
          </cell>
        </row>
        <row r="404">
          <cell r="BW404" t="str">
            <v>0</v>
          </cell>
          <cell r="BX404" t="str">
            <v/>
          </cell>
          <cell r="BY404" t="str">
            <v>Çift</v>
          </cell>
        </row>
        <row r="405">
          <cell r="BW405" t="str">
            <v>0</v>
          </cell>
          <cell r="BX405" t="str">
            <v/>
          </cell>
          <cell r="BY405" t="str">
            <v>Tek</v>
          </cell>
        </row>
        <row r="406">
          <cell r="BW406" t="str">
            <v>0</v>
          </cell>
          <cell r="BX406" t="str">
            <v/>
          </cell>
          <cell r="BY406" t="str">
            <v>Çift</v>
          </cell>
        </row>
        <row r="407">
          <cell r="BW407" t="str">
            <v>0</v>
          </cell>
          <cell r="BX407" t="str">
            <v/>
          </cell>
          <cell r="BY407" t="str">
            <v>Tek</v>
          </cell>
        </row>
        <row r="408">
          <cell r="BW408" t="str">
            <v>0</v>
          </cell>
          <cell r="BX408" t="str">
            <v/>
          </cell>
          <cell r="BY408" t="str">
            <v>Çift</v>
          </cell>
        </row>
        <row r="409">
          <cell r="BW409" t="str">
            <v>0</v>
          </cell>
          <cell r="BX409" t="str">
            <v/>
          </cell>
          <cell r="BY409" t="str">
            <v>Tek</v>
          </cell>
        </row>
        <row r="410">
          <cell r="BW410" t="str">
            <v>0</v>
          </cell>
          <cell r="BX410" t="str">
            <v/>
          </cell>
          <cell r="BY410" t="str">
            <v>Çift</v>
          </cell>
        </row>
        <row r="411">
          <cell r="BW411" t="str">
            <v>0</v>
          </cell>
          <cell r="BX411" t="str">
            <v/>
          </cell>
          <cell r="BY411" t="str">
            <v>Tek</v>
          </cell>
        </row>
        <row r="412">
          <cell r="BW412" t="str">
            <v>0</v>
          </cell>
          <cell r="BX412" t="str">
            <v/>
          </cell>
          <cell r="BY412" t="str">
            <v>Çift</v>
          </cell>
        </row>
        <row r="413">
          <cell r="BW413" t="str">
            <v>0</v>
          </cell>
          <cell r="BX413" t="str">
            <v/>
          </cell>
          <cell r="BY413" t="str">
            <v>Tek</v>
          </cell>
        </row>
        <row r="414">
          <cell r="BW414" t="str">
            <v>0</v>
          </cell>
          <cell r="BX414" t="str">
            <v/>
          </cell>
          <cell r="BY414" t="str">
            <v>Çift</v>
          </cell>
        </row>
        <row r="415">
          <cell r="BW415" t="str">
            <v>0</v>
          </cell>
          <cell r="BX415" t="str">
            <v/>
          </cell>
          <cell r="BY415" t="str">
            <v>Tek</v>
          </cell>
        </row>
        <row r="416">
          <cell r="BW416" t="str">
            <v>0</v>
          </cell>
          <cell r="BX416" t="str">
            <v/>
          </cell>
          <cell r="BY416" t="str">
            <v>Çift</v>
          </cell>
        </row>
        <row r="417">
          <cell r="BW417" t="str">
            <v>0</v>
          </cell>
          <cell r="BX417" t="str">
            <v/>
          </cell>
          <cell r="BY417" t="str">
            <v>Tek</v>
          </cell>
        </row>
        <row r="418">
          <cell r="BW418" t="str">
            <v>0</v>
          </cell>
          <cell r="BX418" t="str">
            <v/>
          </cell>
          <cell r="BY418" t="str">
            <v>Çift</v>
          </cell>
        </row>
        <row r="419">
          <cell r="BW419" t="str">
            <v>0</v>
          </cell>
          <cell r="BX419" t="str">
            <v/>
          </cell>
          <cell r="BY419" t="str">
            <v>Tek</v>
          </cell>
        </row>
        <row r="420">
          <cell r="BW420" t="str">
            <v>0</v>
          </cell>
          <cell r="BX420" t="str">
            <v/>
          </cell>
          <cell r="BY420" t="str">
            <v>Çift</v>
          </cell>
        </row>
        <row r="421">
          <cell r="BW421" t="str">
            <v>0</v>
          </cell>
          <cell r="BX421" t="str">
            <v/>
          </cell>
          <cell r="BY421" t="str">
            <v>Tek</v>
          </cell>
        </row>
        <row r="422">
          <cell r="BW422" t="str">
            <v>0</v>
          </cell>
          <cell r="BX422" t="str">
            <v/>
          </cell>
          <cell r="BY422" t="str">
            <v>Çift</v>
          </cell>
        </row>
        <row r="423">
          <cell r="BW423" t="str">
            <v>0</v>
          </cell>
          <cell r="BX423" t="str">
            <v/>
          </cell>
          <cell r="BY423" t="str">
            <v>Tek</v>
          </cell>
        </row>
        <row r="424">
          <cell r="BW424" t="str">
            <v>0</v>
          </cell>
          <cell r="BX424" t="str">
            <v/>
          </cell>
          <cell r="BY424" t="str">
            <v>Çift</v>
          </cell>
        </row>
        <row r="425">
          <cell r="BW425" t="str">
            <v>0</v>
          </cell>
          <cell r="BX425" t="str">
            <v/>
          </cell>
          <cell r="BY425" t="str">
            <v>Tek</v>
          </cell>
        </row>
        <row r="426">
          <cell r="BW426" t="str">
            <v>0</v>
          </cell>
          <cell r="BX426" t="str">
            <v/>
          </cell>
          <cell r="BY426" t="str">
            <v>Çift</v>
          </cell>
        </row>
        <row r="427">
          <cell r="BW427" t="str">
            <v>0</v>
          </cell>
          <cell r="BX427" t="str">
            <v/>
          </cell>
          <cell r="BY427" t="str">
            <v>Tek</v>
          </cell>
        </row>
        <row r="428">
          <cell r="BW428" t="str">
            <v>0</v>
          </cell>
          <cell r="BX428" t="str">
            <v/>
          </cell>
          <cell r="BY428" t="str">
            <v>Çift</v>
          </cell>
        </row>
        <row r="429">
          <cell r="BW429" t="str">
            <v>0</v>
          </cell>
          <cell r="BX429" t="str">
            <v/>
          </cell>
          <cell r="BY429" t="str">
            <v>Tek</v>
          </cell>
        </row>
        <row r="430">
          <cell r="BW430" t="str">
            <v>0</v>
          </cell>
          <cell r="BX430" t="str">
            <v/>
          </cell>
          <cell r="BY430" t="str">
            <v>Çift</v>
          </cell>
        </row>
        <row r="431">
          <cell r="BW431" t="str">
            <v>0</v>
          </cell>
          <cell r="BX431" t="str">
            <v/>
          </cell>
          <cell r="BY431" t="str">
            <v>Tek</v>
          </cell>
        </row>
        <row r="432">
          <cell r="BW432" t="str">
            <v>0</v>
          </cell>
          <cell r="BX432" t="str">
            <v/>
          </cell>
          <cell r="BY432" t="str">
            <v>Çift</v>
          </cell>
        </row>
        <row r="433">
          <cell r="BW433" t="str">
            <v>0</v>
          </cell>
          <cell r="BX433" t="str">
            <v/>
          </cell>
          <cell r="BY433" t="str">
            <v>Tek</v>
          </cell>
        </row>
        <row r="434">
          <cell r="BW434" t="str">
            <v>0</v>
          </cell>
          <cell r="BX434" t="str">
            <v/>
          </cell>
          <cell r="BY434" t="str">
            <v>Çift</v>
          </cell>
        </row>
        <row r="435">
          <cell r="BW435" t="str">
            <v>0</v>
          </cell>
          <cell r="BX435" t="str">
            <v/>
          </cell>
          <cell r="BY435" t="str">
            <v>Tek</v>
          </cell>
        </row>
        <row r="436">
          <cell r="BW436" t="str">
            <v>0</v>
          </cell>
          <cell r="BX436" t="str">
            <v/>
          </cell>
          <cell r="BY436" t="str">
            <v>Çift</v>
          </cell>
        </row>
        <row r="437">
          <cell r="BW437" t="str">
            <v>0</v>
          </cell>
          <cell r="BX437" t="str">
            <v/>
          </cell>
          <cell r="BY437" t="str">
            <v>Tek</v>
          </cell>
        </row>
        <row r="438">
          <cell r="BW438" t="str">
            <v>0</v>
          </cell>
          <cell r="BX438" t="str">
            <v/>
          </cell>
          <cell r="BY438" t="str">
            <v>Çift</v>
          </cell>
        </row>
        <row r="439">
          <cell r="BW439" t="str">
            <v>0</v>
          </cell>
          <cell r="BX439" t="str">
            <v/>
          </cell>
          <cell r="BY439" t="str">
            <v>Tek</v>
          </cell>
        </row>
        <row r="440">
          <cell r="BW440" t="str">
            <v>0</v>
          </cell>
          <cell r="BX440" t="str">
            <v/>
          </cell>
          <cell r="BY440" t="str">
            <v>Çift</v>
          </cell>
        </row>
        <row r="441">
          <cell r="BW441" t="str">
            <v>0</v>
          </cell>
          <cell r="BX441" t="str">
            <v/>
          </cell>
          <cell r="BY441" t="str">
            <v>Tek</v>
          </cell>
        </row>
        <row r="442">
          <cell r="BW442" t="str">
            <v>0</v>
          </cell>
          <cell r="BX442" t="str">
            <v/>
          </cell>
          <cell r="BY442" t="str">
            <v>Çift</v>
          </cell>
        </row>
        <row r="443">
          <cell r="BW443" t="str">
            <v>0</v>
          </cell>
          <cell r="BX443" t="str">
            <v/>
          </cell>
          <cell r="BY443" t="str">
            <v>Tek</v>
          </cell>
        </row>
        <row r="444">
          <cell r="BW444" t="str">
            <v>0</v>
          </cell>
          <cell r="BX444" t="str">
            <v/>
          </cell>
          <cell r="BY444" t="str">
            <v>Çift</v>
          </cell>
        </row>
        <row r="445">
          <cell r="BW445" t="str">
            <v>0</v>
          </cell>
          <cell r="BX445" t="str">
            <v/>
          </cell>
          <cell r="BY445" t="str">
            <v>Tek</v>
          </cell>
        </row>
        <row r="446">
          <cell r="BW446" t="str">
            <v>0</v>
          </cell>
          <cell r="BX446" t="str">
            <v/>
          </cell>
          <cell r="BY446" t="str">
            <v>Çift</v>
          </cell>
        </row>
        <row r="447">
          <cell r="BW447" t="str">
            <v>0</v>
          </cell>
          <cell r="BX447" t="str">
            <v/>
          </cell>
          <cell r="BY447" t="str">
            <v>Tek</v>
          </cell>
        </row>
        <row r="448">
          <cell r="BW448" t="str">
            <v>0</v>
          </cell>
          <cell r="BX448" t="str">
            <v/>
          </cell>
          <cell r="BY448" t="str">
            <v>Çift</v>
          </cell>
        </row>
        <row r="449">
          <cell r="BW449" t="str">
            <v>0</v>
          </cell>
          <cell r="BX449" t="str">
            <v/>
          </cell>
          <cell r="BY449" t="str">
            <v>Tek</v>
          </cell>
        </row>
        <row r="450">
          <cell r="BW450" t="str">
            <v>0</v>
          </cell>
          <cell r="BX450" t="str">
            <v/>
          </cell>
          <cell r="BY450" t="str">
            <v>Çift</v>
          </cell>
        </row>
        <row r="451">
          <cell r="BW451" t="str">
            <v>0</v>
          </cell>
          <cell r="BX451" t="str">
            <v/>
          </cell>
          <cell r="BY451" t="str">
            <v>Tek</v>
          </cell>
        </row>
        <row r="452">
          <cell r="BW452" t="str">
            <v>0</v>
          </cell>
          <cell r="BX452" t="str">
            <v/>
          </cell>
          <cell r="BY452" t="str">
            <v>Çift</v>
          </cell>
        </row>
        <row r="453">
          <cell r="BW453" t="str">
            <v>0</v>
          </cell>
          <cell r="BX453" t="str">
            <v/>
          </cell>
          <cell r="BY453" t="str">
            <v>Tek</v>
          </cell>
        </row>
        <row r="454">
          <cell r="BW454" t="str">
            <v>0</v>
          </cell>
          <cell r="BX454" t="str">
            <v/>
          </cell>
          <cell r="BY454" t="str">
            <v>Çift</v>
          </cell>
        </row>
        <row r="455">
          <cell r="BW455" t="str">
            <v>0</v>
          </cell>
          <cell r="BX455" t="str">
            <v/>
          </cell>
          <cell r="BY455" t="str">
            <v>Tek</v>
          </cell>
        </row>
        <row r="456">
          <cell r="BW456" t="str">
            <v>0</v>
          </cell>
          <cell r="BX456" t="str">
            <v/>
          </cell>
          <cell r="BY456" t="str">
            <v>Çift</v>
          </cell>
        </row>
        <row r="457">
          <cell r="BW457" t="str">
            <v>0</v>
          </cell>
          <cell r="BX457" t="str">
            <v/>
          </cell>
          <cell r="BY457" t="str">
            <v>Tek</v>
          </cell>
        </row>
        <row r="458">
          <cell r="BW458" t="str">
            <v>0</v>
          </cell>
          <cell r="BX458" t="str">
            <v/>
          </cell>
          <cell r="BY458" t="str">
            <v>Çift</v>
          </cell>
        </row>
        <row r="459">
          <cell r="BW459" t="str">
            <v>0</v>
          </cell>
          <cell r="BX459" t="str">
            <v/>
          </cell>
          <cell r="BY459" t="str">
            <v>Tek</v>
          </cell>
        </row>
        <row r="460">
          <cell r="BW460" t="str">
            <v>0</v>
          </cell>
          <cell r="BX460" t="str">
            <v/>
          </cell>
          <cell r="BY460" t="str">
            <v>Çift</v>
          </cell>
        </row>
        <row r="461">
          <cell r="BW461" t="str">
            <v>0</v>
          </cell>
          <cell r="BX461" t="str">
            <v/>
          </cell>
          <cell r="BY461" t="str">
            <v>Tek</v>
          </cell>
        </row>
        <row r="462">
          <cell r="BW462" t="str">
            <v>0</v>
          </cell>
          <cell r="BX462" t="str">
            <v/>
          </cell>
          <cell r="BY462" t="str">
            <v>Çift</v>
          </cell>
        </row>
        <row r="463">
          <cell r="BW463" t="str">
            <v>0</v>
          </cell>
          <cell r="BX463" t="str">
            <v/>
          </cell>
          <cell r="BY463" t="str">
            <v>Tek</v>
          </cell>
        </row>
        <row r="464">
          <cell r="BW464" t="str">
            <v>0</v>
          </cell>
          <cell r="BX464" t="str">
            <v/>
          </cell>
          <cell r="BY464" t="str">
            <v>Çift</v>
          </cell>
        </row>
        <row r="465">
          <cell r="BW465" t="str">
            <v>0</v>
          </cell>
          <cell r="BX465" t="str">
            <v/>
          </cell>
          <cell r="BY465" t="str">
            <v>Tek</v>
          </cell>
        </row>
        <row r="466">
          <cell r="BW466" t="str">
            <v>0</v>
          </cell>
          <cell r="BX466" t="str">
            <v/>
          </cell>
          <cell r="BY466" t="str">
            <v>Çift</v>
          </cell>
        </row>
        <row r="467">
          <cell r="BW467" t="str">
            <v>0</v>
          </cell>
          <cell r="BX467" t="str">
            <v/>
          </cell>
          <cell r="BY467" t="str">
            <v>Tek</v>
          </cell>
        </row>
        <row r="468">
          <cell r="BW468" t="str">
            <v>0</v>
          </cell>
          <cell r="BX468" t="str">
            <v/>
          </cell>
          <cell r="BY468" t="str">
            <v>Çift</v>
          </cell>
        </row>
        <row r="469">
          <cell r="BW469" t="str">
            <v>0</v>
          </cell>
          <cell r="BX469" t="str">
            <v/>
          </cell>
          <cell r="BY469" t="str">
            <v>Tek</v>
          </cell>
        </row>
        <row r="470">
          <cell r="BW470" t="str">
            <v>0</v>
          </cell>
          <cell r="BX470" t="str">
            <v/>
          </cell>
          <cell r="BY470" t="str">
            <v>Çift</v>
          </cell>
        </row>
        <row r="471">
          <cell r="BW471" t="str">
            <v>0</v>
          </cell>
          <cell r="BX471" t="str">
            <v/>
          </cell>
          <cell r="BY471" t="str">
            <v>Tek</v>
          </cell>
        </row>
        <row r="472">
          <cell r="BW472" t="str">
            <v>0</v>
          </cell>
          <cell r="BX472" t="str">
            <v/>
          </cell>
          <cell r="BY472" t="str">
            <v>Çift</v>
          </cell>
        </row>
        <row r="473">
          <cell r="BW473" t="str">
            <v>0</v>
          </cell>
          <cell r="BX473" t="str">
            <v/>
          </cell>
          <cell r="BY473" t="str">
            <v>Tek</v>
          </cell>
        </row>
        <row r="474">
          <cell r="BW474" t="str">
            <v>0</v>
          </cell>
          <cell r="BX474" t="str">
            <v/>
          </cell>
          <cell r="BY474" t="str">
            <v>Çift</v>
          </cell>
        </row>
        <row r="475">
          <cell r="BW475" t="str">
            <v>0</v>
          </cell>
          <cell r="BX475" t="str">
            <v/>
          </cell>
          <cell r="BY475" t="str">
            <v>Tek</v>
          </cell>
        </row>
        <row r="476">
          <cell r="BW476" t="str">
            <v>0</v>
          </cell>
          <cell r="BX476" t="str">
            <v/>
          </cell>
          <cell r="BY476" t="str">
            <v>Çift</v>
          </cell>
        </row>
        <row r="477">
          <cell r="BW477" t="str">
            <v>0</v>
          </cell>
          <cell r="BX477" t="str">
            <v/>
          </cell>
          <cell r="BY477" t="str">
            <v>Tek</v>
          </cell>
        </row>
        <row r="478">
          <cell r="BW478" t="str">
            <v>0</v>
          </cell>
          <cell r="BX478" t="str">
            <v/>
          </cell>
          <cell r="BY478" t="str">
            <v>Çift</v>
          </cell>
        </row>
        <row r="479">
          <cell r="BW479" t="str">
            <v>0</v>
          </cell>
          <cell r="BX479" t="str">
            <v/>
          </cell>
          <cell r="BY479" t="str">
            <v>Tek</v>
          </cell>
        </row>
        <row r="480">
          <cell r="BW480" t="str">
            <v>0</v>
          </cell>
          <cell r="BX480" t="str">
            <v/>
          </cell>
          <cell r="BY480" t="str">
            <v>Çift</v>
          </cell>
        </row>
        <row r="481">
          <cell r="BW481" t="str">
            <v>0</v>
          </cell>
          <cell r="BX481" t="str">
            <v/>
          </cell>
          <cell r="BY481" t="str">
            <v>Tek</v>
          </cell>
        </row>
        <row r="482">
          <cell r="BW482" t="str">
            <v>0</v>
          </cell>
          <cell r="BX482" t="str">
            <v/>
          </cell>
          <cell r="BY482" t="str">
            <v>Çift</v>
          </cell>
        </row>
        <row r="483">
          <cell r="BW483" t="str">
            <v>0</v>
          </cell>
          <cell r="BX483" t="str">
            <v/>
          </cell>
          <cell r="BY483" t="str">
            <v>Tek</v>
          </cell>
        </row>
        <row r="484">
          <cell r="BW484" t="str">
            <v>0</v>
          </cell>
          <cell r="BX484" t="str">
            <v/>
          </cell>
          <cell r="BY484" t="str">
            <v>Çift</v>
          </cell>
        </row>
        <row r="485">
          <cell r="BW485" t="str">
            <v>0</v>
          </cell>
          <cell r="BX485" t="str">
            <v/>
          </cell>
          <cell r="BY485" t="str">
            <v>Tek</v>
          </cell>
        </row>
        <row r="486">
          <cell r="BW486" t="str">
            <v>0</v>
          </cell>
          <cell r="BX486" t="str">
            <v/>
          </cell>
          <cell r="BY486" t="str">
            <v>Çift</v>
          </cell>
        </row>
        <row r="487">
          <cell r="BW487" t="str">
            <v>0</v>
          </cell>
          <cell r="BX487" t="str">
            <v/>
          </cell>
          <cell r="BY487" t="str">
            <v>Tek</v>
          </cell>
        </row>
        <row r="488">
          <cell r="BW488" t="str">
            <v>0</v>
          </cell>
          <cell r="BX488" t="str">
            <v/>
          </cell>
          <cell r="BY488" t="str">
            <v>Çift</v>
          </cell>
        </row>
        <row r="489">
          <cell r="BW489" t="str">
            <v>0</v>
          </cell>
          <cell r="BX489" t="str">
            <v/>
          </cell>
          <cell r="BY489" t="str">
            <v>Tek</v>
          </cell>
        </row>
        <row r="490">
          <cell r="BW490" t="str">
            <v>0</v>
          </cell>
          <cell r="BX490" t="str">
            <v/>
          </cell>
          <cell r="BY490" t="str">
            <v>Çift</v>
          </cell>
        </row>
        <row r="491">
          <cell r="BW491" t="str">
            <v>0</v>
          </cell>
          <cell r="BX491" t="str">
            <v/>
          </cell>
          <cell r="BY491" t="str">
            <v>Tek</v>
          </cell>
        </row>
        <row r="492">
          <cell r="BW492" t="str">
            <v>0</v>
          </cell>
          <cell r="BX492" t="str">
            <v/>
          </cell>
          <cell r="BY492" t="str">
            <v>Çift</v>
          </cell>
        </row>
        <row r="493">
          <cell r="BW493" t="str">
            <v>0</v>
          </cell>
          <cell r="BX493" t="str">
            <v/>
          </cell>
          <cell r="BY493" t="str">
            <v>Tek</v>
          </cell>
        </row>
        <row r="494">
          <cell r="BW494" t="str">
            <v>0</v>
          </cell>
          <cell r="BX494" t="str">
            <v/>
          </cell>
          <cell r="BY494" t="str">
            <v>Çift</v>
          </cell>
        </row>
        <row r="495">
          <cell r="BW495" t="str">
            <v>0</v>
          </cell>
          <cell r="BX495" t="str">
            <v/>
          </cell>
          <cell r="BY495" t="str">
            <v>Tek</v>
          </cell>
        </row>
        <row r="496">
          <cell r="BW496" t="str">
            <v>0</v>
          </cell>
          <cell r="BX496" t="str">
            <v/>
          </cell>
          <cell r="BY496" t="str">
            <v>Çift</v>
          </cell>
        </row>
        <row r="497">
          <cell r="BW497" t="str">
            <v>0</v>
          </cell>
          <cell r="BX497" t="str">
            <v/>
          </cell>
          <cell r="BY497" t="str">
            <v>Tek</v>
          </cell>
        </row>
        <row r="498">
          <cell r="BW498" t="str">
            <v>0</v>
          </cell>
          <cell r="BX498" t="str">
            <v/>
          </cell>
          <cell r="BY498" t="str">
            <v>Çift</v>
          </cell>
        </row>
        <row r="499">
          <cell r="BW499" t="str">
            <v>0</v>
          </cell>
          <cell r="BX499" t="str">
            <v/>
          </cell>
          <cell r="BY499" t="str">
            <v>Tek</v>
          </cell>
        </row>
        <row r="500">
          <cell r="BW500" t="str">
            <v>0</v>
          </cell>
          <cell r="BX500" t="str">
            <v/>
          </cell>
          <cell r="BY500" t="str">
            <v>Çift</v>
          </cell>
        </row>
        <row r="501">
          <cell r="BW501" t="str">
            <v>0</v>
          </cell>
          <cell r="BX501" t="str">
            <v/>
          </cell>
          <cell r="BY501" t="str">
            <v>Tek</v>
          </cell>
        </row>
        <row r="502">
          <cell r="BW502" t="str">
            <v>0</v>
          </cell>
          <cell r="BX502" t="str">
            <v/>
          </cell>
          <cell r="BY502" t="str">
            <v>Çift</v>
          </cell>
        </row>
        <row r="503">
          <cell r="BW503" t="str">
            <v>0</v>
          </cell>
          <cell r="BX503" t="str">
            <v/>
          </cell>
          <cell r="BY503" t="str">
            <v>Tek</v>
          </cell>
        </row>
        <row r="504">
          <cell r="BW504" t="str">
            <v>0</v>
          </cell>
          <cell r="BX504" t="str">
            <v/>
          </cell>
          <cell r="BY504" t="str">
            <v>Çift</v>
          </cell>
        </row>
        <row r="505">
          <cell r="BW505" t="str">
            <v>0</v>
          </cell>
          <cell r="BX505" t="str">
            <v/>
          </cell>
          <cell r="BY505" t="str">
            <v>Tek</v>
          </cell>
        </row>
        <row r="506">
          <cell r="BW506" t="str">
            <v>0</v>
          </cell>
          <cell r="BX506" t="str">
            <v/>
          </cell>
          <cell r="BY506" t="str">
            <v>Çift</v>
          </cell>
        </row>
        <row r="507">
          <cell r="BW507" t="str">
            <v>0</v>
          </cell>
          <cell r="BX507" t="str">
            <v/>
          </cell>
          <cell r="BY507" t="str">
            <v>Tek</v>
          </cell>
        </row>
        <row r="508">
          <cell r="BW508" t="str">
            <v>0</v>
          </cell>
          <cell r="BX508" t="str">
            <v/>
          </cell>
          <cell r="BY508" t="str">
            <v>Çift</v>
          </cell>
        </row>
        <row r="509">
          <cell r="BW509" t="str">
            <v>0</v>
          </cell>
          <cell r="BX509" t="str">
            <v/>
          </cell>
          <cell r="BY509" t="str">
            <v>Tek</v>
          </cell>
        </row>
        <row r="510">
          <cell r="BW510" t="str">
            <v>0</v>
          </cell>
          <cell r="BX510" t="str">
            <v/>
          </cell>
          <cell r="BY510" t="str">
            <v>Çift</v>
          </cell>
        </row>
        <row r="511">
          <cell r="BW511" t="str">
            <v>0</v>
          </cell>
          <cell r="BX511" t="str">
            <v/>
          </cell>
          <cell r="BY511" t="str">
            <v>Tek</v>
          </cell>
        </row>
        <row r="512">
          <cell r="BW512" t="str">
            <v>0</v>
          </cell>
          <cell r="BX512" t="str">
            <v/>
          </cell>
          <cell r="BY512" t="str">
            <v>Çift</v>
          </cell>
        </row>
        <row r="513">
          <cell r="BW513" t="str">
            <v>0</v>
          </cell>
          <cell r="BX513" t="str">
            <v/>
          </cell>
          <cell r="BY513" t="str">
            <v>Tek</v>
          </cell>
        </row>
        <row r="514">
          <cell r="BW514" t="str">
            <v>0</v>
          </cell>
          <cell r="BX514" t="str">
            <v/>
          </cell>
          <cell r="BY514" t="str">
            <v>Çift</v>
          </cell>
        </row>
        <row r="515">
          <cell r="BW515" t="str">
            <v>0</v>
          </cell>
          <cell r="BX515" t="str">
            <v/>
          </cell>
          <cell r="BY515" t="str">
            <v>Tek</v>
          </cell>
        </row>
        <row r="516">
          <cell r="BW516" t="str">
            <v>0</v>
          </cell>
          <cell r="BX516" t="str">
            <v/>
          </cell>
          <cell r="BY516" t="str">
            <v>Çift</v>
          </cell>
        </row>
        <row r="517">
          <cell r="BW517" t="str">
            <v>0</v>
          </cell>
          <cell r="BX517" t="str">
            <v/>
          </cell>
          <cell r="BY517" t="str">
            <v>Tek</v>
          </cell>
        </row>
        <row r="518">
          <cell r="BW518" t="str">
            <v>0</v>
          </cell>
          <cell r="BX518" t="str">
            <v/>
          </cell>
          <cell r="BY518" t="str">
            <v>Çift</v>
          </cell>
        </row>
        <row r="519">
          <cell r="BW519" t="str">
            <v>0</v>
          </cell>
          <cell r="BX519" t="str">
            <v/>
          </cell>
          <cell r="BY519" t="str">
            <v>Tek</v>
          </cell>
        </row>
        <row r="520">
          <cell r="BW520" t="str">
            <v>0</v>
          </cell>
          <cell r="BX520" t="str">
            <v/>
          </cell>
          <cell r="BY520" t="str">
            <v>Çift</v>
          </cell>
        </row>
        <row r="521">
          <cell r="BW521" t="str">
            <v>0</v>
          </cell>
          <cell r="BX521" t="str">
            <v/>
          </cell>
          <cell r="BY521" t="str">
            <v>Tek</v>
          </cell>
        </row>
        <row r="522">
          <cell r="BW522" t="str">
            <v>0</v>
          </cell>
          <cell r="BX522" t="str">
            <v/>
          </cell>
          <cell r="BY522" t="str">
            <v>Çift</v>
          </cell>
        </row>
        <row r="523">
          <cell r="BW523" t="str">
            <v>0</v>
          </cell>
          <cell r="BX523" t="str">
            <v/>
          </cell>
          <cell r="BY523" t="str">
            <v>Tek</v>
          </cell>
        </row>
        <row r="524">
          <cell r="BW524" t="str">
            <v>0</v>
          </cell>
          <cell r="BX524" t="str">
            <v/>
          </cell>
          <cell r="BY524" t="str">
            <v>Çift</v>
          </cell>
        </row>
        <row r="525">
          <cell r="BW525" t="str">
            <v>0</v>
          </cell>
          <cell r="BX525" t="str">
            <v/>
          </cell>
          <cell r="BY525" t="str">
            <v>Tek</v>
          </cell>
        </row>
        <row r="526">
          <cell r="BW526" t="str">
            <v>0</v>
          </cell>
          <cell r="BX526" t="str">
            <v/>
          </cell>
          <cell r="BY526" t="str">
            <v>Çift</v>
          </cell>
        </row>
        <row r="527">
          <cell r="BW527" t="str">
            <v>0</v>
          </cell>
          <cell r="BX527" t="str">
            <v/>
          </cell>
          <cell r="BY527" t="str">
            <v>Tek</v>
          </cell>
        </row>
        <row r="528">
          <cell r="BW528" t="str">
            <v>0</v>
          </cell>
          <cell r="BX528" t="str">
            <v/>
          </cell>
          <cell r="BY528" t="str">
            <v>Çift</v>
          </cell>
        </row>
        <row r="529">
          <cell r="BW529" t="str">
            <v>0</v>
          </cell>
          <cell r="BX529" t="str">
            <v/>
          </cell>
          <cell r="BY529" t="str">
            <v>Tek</v>
          </cell>
        </row>
        <row r="530">
          <cell r="BW530" t="str">
            <v>0</v>
          </cell>
          <cell r="BX530" t="str">
            <v/>
          </cell>
          <cell r="BY530" t="str">
            <v>Çift</v>
          </cell>
        </row>
        <row r="531">
          <cell r="BW531" t="str">
            <v>0</v>
          </cell>
          <cell r="BX531" t="str">
            <v/>
          </cell>
          <cell r="BY531" t="str">
            <v>Tek</v>
          </cell>
        </row>
        <row r="532">
          <cell r="BW532" t="str">
            <v>0</v>
          </cell>
          <cell r="BX532" t="str">
            <v/>
          </cell>
          <cell r="BY532" t="str">
            <v>Çift</v>
          </cell>
        </row>
        <row r="533">
          <cell r="BW533" t="str">
            <v>0</v>
          </cell>
          <cell r="BX533" t="str">
            <v/>
          </cell>
          <cell r="BY533" t="str">
            <v>Tek</v>
          </cell>
        </row>
        <row r="534">
          <cell r="BW534" t="str">
            <v>0</v>
          </cell>
          <cell r="BX534" t="str">
            <v/>
          </cell>
          <cell r="BY534" t="str">
            <v>Çift</v>
          </cell>
        </row>
        <row r="535">
          <cell r="BW535" t="str">
            <v>0</v>
          </cell>
          <cell r="BX535" t="str">
            <v/>
          </cell>
          <cell r="BY535" t="str">
            <v>Tek</v>
          </cell>
        </row>
        <row r="536">
          <cell r="BW536" t="str">
            <v>0</v>
          </cell>
          <cell r="BX536" t="str">
            <v/>
          </cell>
          <cell r="BY536" t="str">
            <v>Çift</v>
          </cell>
        </row>
        <row r="537">
          <cell r="BW537" t="str">
            <v>0</v>
          </cell>
          <cell r="BX537" t="str">
            <v/>
          </cell>
          <cell r="BY537" t="str">
            <v>Tek</v>
          </cell>
        </row>
        <row r="538">
          <cell r="BW538" t="str">
            <v>0</v>
          </cell>
          <cell r="BX538" t="str">
            <v/>
          </cell>
          <cell r="BY538" t="str">
            <v>Çift</v>
          </cell>
        </row>
        <row r="539">
          <cell r="BW539" t="str">
            <v>0</v>
          </cell>
          <cell r="BX539" t="str">
            <v/>
          </cell>
          <cell r="BY539" t="str">
            <v>Tek</v>
          </cell>
        </row>
        <row r="540">
          <cell r="BW540" t="str">
            <v>0</v>
          </cell>
          <cell r="BX540" t="str">
            <v/>
          </cell>
          <cell r="BY540" t="str">
            <v>Çift</v>
          </cell>
        </row>
        <row r="541">
          <cell r="BW541" t="str">
            <v>0</v>
          </cell>
          <cell r="BX541" t="str">
            <v/>
          </cell>
          <cell r="BY541" t="str">
            <v>Tek</v>
          </cell>
        </row>
        <row r="542">
          <cell r="BW542" t="str">
            <v>0</v>
          </cell>
          <cell r="BX542" t="str">
            <v/>
          </cell>
          <cell r="BY542" t="str">
            <v>Çift</v>
          </cell>
        </row>
        <row r="543">
          <cell r="BW543" t="str">
            <v>0</v>
          </cell>
          <cell r="BX543" t="str">
            <v/>
          </cell>
          <cell r="BY543" t="str">
            <v>Tek</v>
          </cell>
        </row>
        <row r="544">
          <cell r="BW544" t="str">
            <v>0</v>
          </cell>
          <cell r="BX544" t="str">
            <v/>
          </cell>
          <cell r="BY544" t="str">
            <v>Çift</v>
          </cell>
        </row>
        <row r="545">
          <cell r="BW545" t="str">
            <v>0</v>
          </cell>
          <cell r="BX545" t="str">
            <v/>
          </cell>
          <cell r="BY545" t="str">
            <v>Tek</v>
          </cell>
        </row>
        <row r="546">
          <cell r="BW546" t="str">
            <v>0</v>
          </cell>
          <cell r="BX546" t="str">
            <v/>
          </cell>
          <cell r="BY546" t="str">
            <v>Çift</v>
          </cell>
        </row>
        <row r="547">
          <cell r="BW547" t="str">
            <v>0</v>
          </cell>
          <cell r="BX547" t="str">
            <v/>
          </cell>
          <cell r="BY547" t="str">
            <v>Tek</v>
          </cell>
        </row>
        <row r="548">
          <cell r="BW548" t="str">
            <v>0</v>
          </cell>
          <cell r="BX548" t="str">
            <v/>
          </cell>
          <cell r="BY548" t="str">
            <v>Çift</v>
          </cell>
        </row>
        <row r="549">
          <cell r="BW549" t="str">
            <v>0</v>
          </cell>
          <cell r="BX549" t="str">
            <v/>
          </cell>
          <cell r="BY549" t="str">
            <v>Tek</v>
          </cell>
        </row>
        <row r="550">
          <cell r="BW550" t="str">
            <v>0</v>
          </cell>
          <cell r="BX550" t="str">
            <v/>
          </cell>
          <cell r="BY550" t="str">
            <v>Çift</v>
          </cell>
        </row>
        <row r="551">
          <cell r="BW551" t="str">
            <v>0</v>
          </cell>
          <cell r="BX551" t="str">
            <v/>
          </cell>
          <cell r="BY551" t="str">
            <v>Tek</v>
          </cell>
        </row>
        <row r="552">
          <cell r="BW552" t="str">
            <v>0</v>
          </cell>
          <cell r="BX552" t="str">
            <v/>
          </cell>
          <cell r="BY552" t="str">
            <v>Çift</v>
          </cell>
        </row>
        <row r="553">
          <cell r="BW553" t="str">
            <v>0</v>
          </cell>
          <cell r="BX553" t="str">
            <v/>
          </cell>
          <cell r="BY553" t="str">
            <v>Tek</v>
          </cell>
        </row>
        <row r="554">
          <cell r="BW554" t="str">
            <v>0</v>
          </cell>
          <cell r="BX554" t="str">
            <v/>
          </cell>
          <cell r="BY554" t="str">
            <v>Çift</v>
          </cell>
        </row>
        <row r="555">
          <cell r="BW555" t="str">
            <v>0</v>
          </cell>
          <cell r="BX555" t="str">
            <v/>
          </cell>
          <cell r="BY555" t="str">
            <v>Tek</v>
          </cell>
        </row>
        <row r="556">
          <cell r="BW556" t="str">
            <v>0</v>
          </cell>
          <cell r="BX556" t="str">
            <v/>
          </cell>
          <cell r="BY556" t="str">
            <v>Çift</v>
          </cell>
        </row>
        <row r="557">
          <cell r="BW557" t="str">
            <v>0</v>
          </cell>
          <cell r="BX557" t="str">
            <v/>
          </cell>
          <cell r="BY557" t="str">
            <v>Tek</v>
          </cell>
        </row>
        <row r="558">
          <cell r="BW558" t="str">
            <v>0</v>
          </cell>
          <cell r="BX558" t="str">
            <v/>
          </cell>
          <cell r="BY558" t="str">
            <v>Çift</v>
          </cell>
        </row>
        <row r="559">
          <cell r="BW559" t="str">
            <v>0</v>
          </cell>
          <cell r="BX559" t="str">
            <v/>
          </cell>
          <cell r="BY559" t="str">
            <v>Tek</v>
          </cell>
        </row>
        <row r="560">
          <cell r="BW560" t="str">
            <v>0</v>
          </cell>
          <cell r="BX560" t="str">
            <v/>
          </cell>
          <cell r="BY560" t="str">
            <v>Çift</v>
          </cell>
        </row>
        <row r="561">
          <cell r="BW561" t="str">
            <v>0</v>
          </cell>
          <cell r="BX561" t="str">
            <v/>
          </cell>
          <cell r="BY561" t="str">
            <v>Tek</v>
          </cell>
        </row>
        <row r="562">
          <cell r="BW562" t="str">
            <v>0</v>
          </cell>
          <cell r="BX562" t="str">
            <v/>
          </cell>
          <cell r="BY562" t="str">
            <v>Çift</v>
          </cell>
        </row>
        <row r="563">
          <cell r="BW563" t="str">
            <v>0</v>
          </cell>
          <cell r="BX563" t="str">
            <v/>
          </cell>
          <cell r="BY563" t="str">
            <v>Tek</v>
          </cell>
        </row>
        <row r="564">
          <cell r="BW564" t="str">
            <v>0</v>
          </cell>
          <cell r="BX564" t="str">
            <v/>
          </cell>
          <cell r="BY564" t="str">
            <v>Çift</v>
          </cell>
        </row>
        <row r="565">
          <cell r="BW565" t="str">
            <v>0</v>
          </cell>
          <cell r="BX565" t="str">
            <v/>
          </cell>
          <cell r="BY565" t="str">
            <v>Tek</v>
          </cell>
        </row>
        <row r="566">
          <cell r="BW566" t="str">
            <v>0</v>
          </cell>
          <cell r="BX566" t="str">
            <v/>
          </cell>
          <cell r="BY566" t="str">
            <v>Çift</v>
          </cell>
        </row>
        <row r="567">
          <cell r="BW567" t="str">
            <v>0</v>
          </cell>
          <cell r="BX567" t="str">
            <v/>
          </cell>
          <cell r="BY567" t="str">
            <v>Tek</v>
          </cell>
        </row>
        <row r="568">
          <cell r="BW568" t="str">
            <v>0</v>
          </cell>
          <cell r="BX568" t="str">
            <v/>
          </cell>
          <cell r="BY568" t="str">
            <v>Çift</v>
          </cell>
        </row>
        <row r="569">
          <cell r="BW569" t="str">
            <v>0</v>
          </cell>
          <cell r="BX569" t="str">
            <v/>
          </cell>
          <cell r="BY569" t="str">
            <v>Tek</v>
          </cell>
        </row>
        <row r="570">
          <cell r="BW570" t="str">
            <v>0</v>
          </cell>
          <cell r="BX570" t="str">
            <v/>
          </cell>
          <cell r="BY570" t="str">
            <v>Çift</v>
          </cell>
        </row>
        <row r="571">
          <cell r="BW571" t="str">
            <v>0</v>
          </cell>
          <cell r="BX571" t="str">
            <v/>
          </cell>
          <cell r="BY571" t="str">
            <v>Tek</v>
          </cell>
        </row>
        <row r="572">
          <cell r="BW572" t="str">
            <v>0</v>
          </cell>
          <cell r="BX572" t="str">
            <v/>
          </cell>
          <cell r="BY572" t="str">
            <v>Çift</v>
          </cell>
        </row>
        <row r="573">
          <cell r="BW573" t="str">
            <v>0</v>
          </cell>
          <cell r="BX573" t="str">
            <v/>
          </cell>
          <cell r="BY573" t="str">
            <v>Tek</v>
          </cell>
        </row>
        <row r="574">
          <cell r="BW574" t="str">
            <v>0</v>
          </cell>
          <cell r="BX574" t="str">
            <v/>
          </cell>
          <cell r="BY574" t="str">
            <v>Çift</v>
          </cell>
        </row>
        <row r="575">
          <cell r="BW575" t="str">
            <v>0</v>
          </cell>
          <cell r="BX575" t="str">
            <v/>
          </cell>
          <cell r="BY575" t="str">
            <v>Tek</v>
          </cell>
        </row>
        <row r="576">
          <cell r="BW576" t="str">
            <v>0</v>
          </cell>
          <cell r="BX576" t="str">
            <v/>
          </cell>
          <cell r="BY576" t="str">
            <v>Çift</v>
          </cell>
        </row>
        <row r="577">
          <cell r="BW577" t="str">
            <v>0</v>
          </cell>
          <cell r="BX577" t="str">
            <v/>
          </cell>
          <cell r="BY577" t="str">
            <v>Tek</v>
          </cell>
        </row>
        <row r="578">
          <cell r="BW578" t="str">
            <v>0</v>
          </cell>
          <cell r="BX578" t="str">
            <v/>
          </cell>
          <cell r="BY578" t="str">
            <v>Çift</v>
          </cell>
        </row>
        <row r="579">
          <cell r="BW579" t="str">
            <v>0</v>
          </cell>
          <cell r="BX579" t="str">
            <v/>
          </cell>
          <cell r="BY579" t="str">
            <v>Tek</v>
          </cell>
        </row>
        <row r="580">
          <cell r="BW580" t="str">
            <v>0</v>
          </cell>
          <cell r="BX580" t="str">
            <v/>
          </cell>
          <cell r="BY580" t="str">
            <v>Çift</v>
          </cell>
        </row>
        <row r="581">
          <cell r="BW581" t="str">
            <v>0</v>
          </cell>
          <cell r="BX581" t="str">
            <v/>
          </cell>
          <cell r="BY581" t="str">
            <v>Tek</v>
          </cell>
        </row>
        <row r="582">
          <cell r="BW582" t="str">
            <v>0</v>
          </cell>
          <cell r="BX582" t="str">
            <v/>
          </cell>
          <cell r="BY582" t="str">
            <v>Çift</v>
          </cell>
        </row>
        <row r="583">
          <cell r="BW583" t="str">
            <v>0</v>
          </cell>
          <cell r="BX583" t="str">
            <v/>
          </cell>
          <cell r="BY583" t="str">
            <v>Tek</v>
          </cell>
        </row>
        <row r="584">
          <cell r="BW584" t="str">
            <v>0</v>
          </cell>
          <cell r="BX584" t="str">
            <v/>
          </cell>
          <cell r="BY584" t="str">
            <v>Çift</v>
          </cell>
        </row>
        <row r="585">
          <cell r="BW585" t="str">
            <v>0</v>
          </cell>
          <cell r="BX585" t="str">
            <v/>
          </cell>
          <cell r="BY585" t="str">
            <v>Tek</v>
          </cell>
        </row>
        <row r="586">
          <cell r="BW586" t="str">
            <v>0</v>
          </cell>
          <cell r="BX586" t="str">
            <v/>
          </cell>
          <cell r="BY586" t="str">
            <v>Çift</v>
          </cell>
        </row>
        <row r="587">
          <cell r="BW587" t="str">
            <v>0</v>
          </cell>
          <cell r="BX587" t="str">
            <v/>
          </cell>
          <cell r="BY587" t="str">
            <v>Tek</v>
          </cell>
        </row>
        <row r="588">
          <cell r="BW588" t="str">
            <v>0</v>
          </cell>
          <cell r="BX588" t="str">
            <v/>
          </cell>
          <cell r="BY588" t="str">
            <v>Çift</v>
          </cell>
        </row>
        <row r="589">
          <cell r="BW589" t="str">
            <v>0</v>
          </cell>
          <cell r="BX589" t="str">
            <v/>
          </cell>
          <cell r="BY589" t="str">
            <v>Tek</v>
          </cell>
        </row>
        <row r="590">
          <cell r="BW590" t="str">
            <v>0</v>
          </cell>
          <cell r="BX590" t="str">
            <v/>
          </cell>
          <cell r="BY590" t="str">
            <v>Çift</v>
          </cell>
        </row>
        <row r="591">
          <cell r="BW591" t="str">
            <v>0</v>
          </cell>
          <cell r="BX591" t="str">
            <v/>
          </cell>
          <cell r="BY591" t="str">
            <v>Tek</v>
          </cell>
        </row>
        <row r="592">
          <cell r="BW592" t="str">
            <v>0</v>
          </cell>
          <cell r="BX592" t="str">
            <v/>
          </cell>
          <cell r="BY592" t="str">
            <v>Çift</v>
          </cell>
        </row>
        <row r="593">
          <cell r="BW593" t="str">
            <v>0</v>
          </cell>
          <cell r="BX593" t="str">
            <v/>
          </cell>
          <cell r="BY593" t="str">
            <v>Tek</v>
          </cell>
        </row>
        <row r="594">
          <cell r="BW594" t="str">
            <v>0</v>
          </cell>
          <cell r="BX594" t="str">
            <v/>
          </cell>
          <cell r="BY594" t="str">
            <v>Çift</v>
          </cell>
        </row>
        <row r="595">
          <cell r="BW595" t="str">
            <v>0</v>
          </cell>
          <cell r="BX595" t="str">
            <v/>
          </cell>
          <cell r="BY595" t="str">
            <v>Tek</v>
          </cell>
        </row>
        <row r="596">
          <cell r="BW596" t="str">
            <v>0</v>
          </cell>
          <cell r="BX596" t="str">
            <v/>
          </cell>
          <cell r="BY596" t="str">
            <v>Çift</v>
          </cell>
        </row>
        <row r="597">
          <cell r="BW597" t="str">
            <v>0</v>
          </cell>
          <cell r="BX597" t="str">
            <v/>
          </cell>
          <cell r="BY597" t="str">
            <v>Tek</v>
          </cell>
        </row>
        <row r="598">
          <cell r="BW598" t="str">
            <v>0</v>
          </cell>
          <cell r="BX598" t="str">
            <v/>
          </cell>
          <cell r="BY598" t="str">
            <v>Çift</v>
          </cell>
        </row>
        <row r="599">
          <cell r="BW599" t="str">
            <v>0</v>
          </cell>
          <cell r="BX599" t="str">
            <v/>
          </cell>
          <cell r="BY599" t="str">
            <v>Tek</v>
          </cell>
        </row>
        <row r="600">
          <cell r="BW600" t="str">
            <v>0</v>
          </cell>
          <cell r="BX600" t="str">
            <v/>
          </cell>
          <cell r="BY600" t="str">
            <v>Çift</v>
          </cell>
        </row>
        <row r="601">
          <cell r="BW601" t="str">
            <v>0</v>
          </cell>
          <cell r="BX601" t="str">
            <v/>
          </cell>
          <cell r="BY601" t="str">
            <v>Tek</v>
          </cell>
        </row>
        <row r="602">
          <cell r="BW602" t="str">
            <v>0</v>
          </cell>
          <cell r="BX602" t="str">
            <v/>
          </cell>
          <cell r="BY602" t="str">
            <v>Çift</v>
          </cell>
        </row>
        <row r="603">
          <cell r="BW603" t="str">
            <v>0</v>
          </cell>
          <cell r="BX603" t="str">
            <v/>
          </cell>
          <cell r="BY603" t="str">
            <v>Tek</v>
          </cell>
        </row>
        <row r="604">
          <cell r="BW604" t="str">
            <v>0</v>
          </cell>
          <cell r="BX604" t="str">
            <v/>
          </cell>
          <cell r="BY604" t="str">
            <v>Çift</v>
          </cell>
        </row>
        <row r="605">
          <cell r="BW605" t="str">
            <v>0</v>
          </cell>
          <cell r="BX605" t="str">
            <v/>
          </cell>
          <cell r="BY605" t="str">
            <v>Tek</v>
          </cell>
        </row>
        <row r="606">
          <cell r="BW606" t="str">
            <v>0</v>
          </cell>
          <cell r="BX606" t="str">
            <v/>
          </cell>
          <cell r="BY606" t="str">
            <v>Çift</v>
          </cell>
        </row>
        <row r="607">
          <cell r="BW607" t="str">
            <v>0</v>
          </cell>
          <cell r="BX607" t="str">
            <v/>
          </cell>
          <cell r="BY607" t="str">
            <v>Tek</v>
          </cell>
        </row>
        <row r="608">
          <cell r="BW608" t="str">
            <v>0</v>
          </cell>
          <cell r="BX608" t="str">
            <v/>
          </cell>
          <cell r="BY608" t="str">
            <v>Çift</v>
          </cell>
        </row>
        <row r="609">
          <cell r="BW609" t="str">
            <v>0</v>
          </cell>
          <cell r="BX609" t="str">
            <v/>
          </cell>
          <cell r="BY609" t="str">
            <v>Tek</v>
          </cell>
        </row>
        <row r="610">
          <cell r="BW610" t="str">
            <v>0</v>
          </cell>
          <cell r="BX610" t="str">
            <v/>
          </cell>
          <cell r="BY610" t="str">
            <v>Çift</v>
          </cell>
        </row>
        <row r="611">
          <cell r="BW611" t="str">
            <v>0</v>
          </cell>
          <cell r="BX611" t="str">
            <v/>
          </cell>
          <cell r="BY611" t="str">
            <v>Tek</v>
          </cell>
        </row>
        <row r="612">
          <cell r="BW612" t="str">
            <v>0</v>
          </cell>
          <cell r="BX612" t="str">
            <v/>
          </cell>
          <cell r="BY612" t="str">
            <v>Çift</v>
          </cell>
        </row>
        <row r="613">
          <cell r="BW613" t="str">
            <v>0</v>
          </cell>
          <cell r="BX613" t="str">
            <v/>
          </cell>
          <cell r="BY613" t="str">
            <v>Tek</v>
          </cell>
        </row>
        <row r="614">
          <cell r="BW614" t="str">
            <v>0</v>
          </cell>
          <cell r="BX614" t="str">
            <v/>
          </cell>
          <cell r="BY614" t="str">
            <v>Çift</v>
          </cell>
        </row>
        <row r="615">
          <cell r="BW615" t="str">
            <v>0</v>
          </cell>
          <cell r="BX615" t="str">
            <v/>
          </cell>
          <cell r="BY615" t="str">
            <v>Tek</v>
          </cell>
        </row>
        <row r="616">
          <cell r="BW616" t="str">
            <v>0</v>
          </cell>
          <cell r="BX616" t="str">
            <v/>
          </cell>
          <cell r="BY616" t="str">
            <v>Çift</v>
          </cell>
        </row>
        <row r="617">
          <cell r="BW617" t="str">
            <v>0</v>
          </cell>
          <cell r="BX617" t="str">
            <v/>
          </cell>
          <cell r="BY617" t="str">
            <v>Tek</v>
          </cell>
        </row>
        <row r="618">
          <cell r="BW618" t="str">
            <v>0</v>
          </cell>
          <cell r="BX618" t="str">
            <v/>
          </cell>
          <cell r="BY618" t="str">
            <v>Çift</v>
          </cell>
        </row>
        <row r="619">
          <cell r="BW619" t="str">
            <v>0</v>
          </cell>
          <cell r="BX619" t="str">
            <v/>
          </cell>
          <cell r="BY619" t="str">
            <v>Tek</v>
          </cell>
        </row>
        <row r="620">
          <cell r="BW620" t="str">
            <v>0</v>
          </cell>
          <cell r="BX620" t="str">
            <v/>
          </cell>
          <cell r="BY620" t="str">
            <v>Çift</v>
          </cell>
        </row>
        <row r="621">
          <cell r="BW621" t="str">
            <v>0</v>
          </cell>
          <cell r="BX621" t="str">
            <v/>
          </cell>
          <cell r="BY621" t="str">
            <v>Tek</v>
          </cell>
        </row>
        <row r="622">
          <cell r="BW622" t="str">
            <v>0</v>
          </cell>
          <cell r="BX622" t="str">
            <v/>
          </cell>
          <cell r="BY622" t="str">
            <v>Çift</v>
          </cell>
        </row>
        <row r="623">
          <cell r="BW623" t="str">
            <v>0</v>
          </cell>
          <cell r="BX623" t="str">
            <v/>
          </cell>
          <cell r="BY623" t="str">
            <v>Tek</v>
          </cell>
        </row>
        <row r="624">
          <cell r="BW624" t="str">
            <v>0</v>
          </cell>
          <cell r="BX624" t="str">
            <v/>
          </cell>
          <cell r="BY624" t="str">
            <v>Çift</v>
          </cell>
        </row>
        <row r="625">
          <cell r="BW625" t="str">
            <v>0</v>
          </cell>
          <cell r="BX625" t="str">
            <v/>
          </cell>
          <cell r="BY625" t="str">
            <v>Tek</v>
          </cell>
        </row>
        <row r="626">
          <cell r="BW626" t="str">
            <v>0</v>
          </cell>
          <cell r="BX626" t="str">
            <v/>
          </cell>
          <cell r="BY626" t="str">
            <v>Çift</v>
          </cell>
        </row>
        <row r="627">
          <cell r="BW627" t="str">
            <v>0</v>
          </cell>
          <cell r="BX627" t="str">
            <v/>
          </cell>
          <cell r="BY627" t="str">
            <v>Tek</v>
          </cell>
        </row>
        <row r="628">
          <cell r="BW628" t="str">
            <v>0</v>
          </cell>
          <cell r="BX628" t="str">
            <v/>
          </cell>
          <cell r="BY628" t="str">
            <v>Çift</v>
          </cell>
        </row>
        <row r="629">
          <cell r="BW629" t="str">
            <v>0</v>
          </cell>
          <cell r="BX629" t="str">
            <v/>
          </cell>
          <cell r="BY629" t="str">
            <v>Tek</v>
          </cell>
        </row>
        <row r="630">
          <cell r="BW630" t="str">
            <v>0</v>
          </cell>
          <cell r="BX630" t="str">
            <v/>
          </cell>
          <cell r="BY630" t="str">
            <v>Çift</v>
          </cell>
        </row>
        <row r="631">
          <cell r="BW631" t="str">
            <v>0</v>
          </cell>
          <cell r="BX631" t="str">
            <v/>
          </cell>
          <cell r="BY631" t="str">
            <v>Tek</v>
          </cell>
        </row>
        <row r="632">
          <cell r="BW632" t="str">
            <v>0</v>
          </cell>
          <cell r="BX632" t="str">
            <v/>
          </cell>
          <cell r="BY632" t="str">
            <v>Çift</v>
          </cell>
        </row>
        <row r="633">
          <cell r="BW633" t="str">
            <v>0</v>
          </cell>
          <cell r="BX633" t="str">
            <v/>
          </cell>
          <cell r="BY633" t="str">
            <v>Tek</v>
          </cell>
        </row>
        <row r="634">
          <cell r="BW634" t="str">
            <v>0</v>
          </cell>
          <cell r="BX634" t="str">
            <v/>
          </cell>
          <cell r="BY634" t="str">
            <v>Çift</v>
          </cell>
        </row>
        <row r="635">
          <cell r="BW635" t="str">
            <v>0</v>
          </cell>
          <cell r="BX635" t="str">
            <v/>
          </cell>
          <cell r="BY635" t="str">
            <v>Tek</v>
          </cell>
        </row>
        <row r="636">
          <cell r="BW636" t="str">
            <v>0</v>
          </cell>
          <cell r="BX636" t="str">
            <v/>
          </cell>
          <cell r="BY636" t="str">
            <v>Çift</v>
          </cell>
        </row>
        <row r="637">
          <cell r="BW637" t="str">
            <v>0</v>
          </cell>
          <cell r="BX637" t="str">
            <v/>
          </cell>
          <cell r="BY637" t="str">
            <v>Tek</v>
          </cell>
        </row>
        <row r="638">
          <cell r="BW638" t="str">
            <v>0</v>
          </cell>
          <cell r="BX638" t="str">
            <v/>
          </cell>
          <cell r="BY638" t="str">
            <v>Çift</v>
          </cell>
        </row>
        <row r="639">
          <cell r="BW639" t="str">
            <v>0</v>
          </cell>
          <cell r="BX639" t="str">
            <v/>
          </cell>
          <cell r="BY639" t="str">
            <v>Tek</v>
          </cell>
        </row>
        <row r="640">
          <cell r="BW640" t="str">
            <v>0</v>
          </cell>
          <cell r="BX640" t="str">
            <v/>
          </cell>
          <cell r="BY640" t="str">
            <v>Çift</v>
          </cell>
        </row>
        <row r="641">
          <cell r="BW641" t="str">
            <v>0</v>
          </cell>
          <cell r="BX641" t="str">
            <v/>
          </cell>
          <cell r="BY641" t="str">
            <v>Tek</v>
          </cell>
        </row>
        <row r="642">
          <cell r="BW642" t="str">
            <v>0</v>
          </cell>
          <cell r="BX642" t="str">
            <v/>
          </cell>
          <cell r="BY642" t="str">
            <v>Çift</v>
          </cell>
        </row>
        <row r="643">
          <cell r="BW643" t="str">
            <v>0</v>
          </cell>
          <cell r="BX643" t="str">
            <v/>
          </cell>
          <cell r="BY643" t="str">
            <v>Tek</v>
          </cell>
        </row>
        <row r="644">
          <cell r="BW644" t="str">
            <v>0</v>
          </cell>
          <cell r="BX644" t="str">
            <v/>
          </cell>
          <cell r="BY644" t="str">
            <v>Çift</v>
          </cell>
        </row>
        <row r="645">
          <cell r="BW645" t="str">
            <v>0</v>
          </cell>
          <cell r="BX645" t="str">
            <v/>
          </cell>
          <cell r="BY645" t="str">
            <v>Tek</v>
          </cell>
        </row>
        <row r="646">
          <cell r="BW646" t="str">
            <v>0</v>
          </cell>
          <cell r="BX646" t="str">
            <v/>
          </cell>
          <cell r="BY646" t="str">
            <v>Çift</v>
          </cell>
        </row>
        <row r="647">
          <cell r="BW647" t="str">
            <v>0</v>
          </cell>
          <cell r="BX647" t="str">
            <v/>
          </cell>
          <cell r="BY647" t="str">
            <v>Tek</v>
          </cell>
        </row>
        <row r="648">
          <cell r="BW648" t="str">
            <v>0</v>
          </cell>
          <cell r="BX648" t="str">
            <v/>
          </cell>
          <cell r="BY648" t="str">
            <v>Çift</v>
          </cell>
        </row>
        <row r="649">
          <cell r="BW649" t="str">
            <v>0</v>
          </cell>
          <cell r="BX649" t="str">
            <v/>
          </cell>
          <cell r="BY649" t="str">
            <v>Tek</v>
          </cell>
        </row>
        <row r="650">
          <cell r="BW650" t="str">
            <v>0</v>
          </cell>
          <cell r="BX650" t="str">
            <v/>
          </cell>
          <cell r="BY650" t="str">
            <v>Çift</v>
          </cell>
        </row>
        <row r="651">
          <cell r="BW651" t="str">
            <v>0</v>
          </cell>
          <cell r="BX651" t="str">
            <v/>
          </cell>
          <cell r="BY651" t="str">
            <v>Tek</v>
          </cell>
        </row>
        <row r="652">
          <cell r="BW652" t="str">
            <v>0</v>
          </cell>
          <cell r="BX652" t="str">
            <v/>
          </cell>
          <cell r="BY652" t="str">
            <v>Çift</v>
          </cell>
        </row>
        <row r="653">
          <cell r="BW653" t="str">
            <v>0</v>
          </cell>
          <cell r="BX653" t="str">
            <v/>
          </cell>
          <cell r="BY653" t="str">
            <v>Tek</v>
          </cell>
        </row>
        <row r="654">
          <cell r="BW654" t="str">
            <v>0</v>
          </cell>
          <cell r="BX654" t="str">
            <v/>
          </cell>
          <cell r="BY654" t="str">
            <v>Çift</v>
          </cell>
        </row>
        <row r="655">
          <cell r="BW655" t="str">
            <v>0</v>
          </cell>
          <cell r="BX655" t="str">
            <v/>
          </cell>
          <cell r="BY655" t="str">
            <v>Tek</v>
          </cell>
        </row>
        <row r="656">
          <cell r="BW656" t="str">
            <v>0</v>
          </cell>
          <cell r="BX656" t="str">
            <v/>
          </cell>
          <cell r="BY656" t="str">
            <v>Çift</v>
          </cell>
        </row>
        <row r="657">
          <cell r="BW657" t="str">
            <v>0</v>
          </cell>
          <cell r="BX657" t="str">
            <v/>
          </cell>
          <cell r="BY657" t="str">
            <v>Tek</v>
          </cell>
        </row>
        <row r="658">
          <cell r="BW658" t="str">
            <v>0</v>
          </cell>
          <cell r="BX658" t="str">
            <v/>
          </cell>
          <cell r="BY658" t="str">
            <v>Çift</v>
          </cell>
        </row>
        <row r="659">
          <cell r="BW659" t="str">
            <v>0</v>
          </cell>
          <cell r="BX659" t="str">
            <v/>
          </cell>
          <cell r="BY659" t="str">
            <v>Tek</v>
          </cell>
        </row>
        <row r="660">
          <cell r="BW660" t="str">
            <v>0</v>
          </cell>
          <cell r="BX660" t="str">
            <v/>
          </cell>
          <cell r="BY660" t="str">
            <v>Çift</v>
          </cell>
        </row>
        <row r="661">
          <cell r="BW661" t="str">
            <v>0</v>
          </cell>
          <cell r="BX661" t="str">
            <v/>
          </cell>
          <cell r="BY661" t="str">
            <v>Tek</v>
          </cell>
        </row>
        <row r="662">
          <cell r="BW662" t="str">
            <v>0</v>
          </cell>
          <cell r="BX662" t="str">
            <v/>
          </cell>
          <cell r="BY662" t="str">
            <v>Çift</v>
          </cell>
        </row>
        <row r="663">
          <cell r="BW663" t="str">
            <v>0</v>
          </cell>
          <cell r="BX663" t="str">
            <v/>
          </cell>
          <cell r="BY663" t="str">
            <v>Tek</v>
          </cell>
        </row>
        <row r="664">
          <cell r="BW664" t="str">
            <v>0</v>
          </cell>
          <cell r="BX664" t="str">
            <v/>
          </cell>
          <cell r="BY664" t="str">
            <v>Çift</v>
          </cell>
        </row>
        <row r="665">
          <cell r="BW665" t="str">
            <v>0</v>
          </cell>
          <cell r="BX665" t="str">
            <v/>
          </cell>
          <cell r="BY665" t="str">
            <v>Tek</v>
          </cell>
        </row>
        <row r="666">
          <cell r="BW666" t="str">
            <v>0</v>
          </cell>
          <cell r="BX666" t="str">
            <v/>
          </cell>
          <cell r="BY666" t="str">
            <v>Çift</v>
          </cell>
        </row>
        <row r="667">
          <cell r="BW667" t="str">
            <v>0</v>
          </cell>
          <cell r="BX667" t="str">
            <v/>
          </cell>
          <cell r="BY667" t="str">
            <v>Tek</v>
          </cell>
        </row>
        <row r="668">
          <cell r="BW668" t="str">
            <v>0</v>
          </cell>
          <cell r="BX668" t="str">
            <v/>
          </cell>
          <cell r="BY668" t="str">
            <v>Çift</v>
          </cell>
        </row>
        <row r="669">
          <cell r="BW669" t="str">
            <v>0</v>
          </cell>
          <cell r="BX669" t="str">
            <v/>
          </cell>
          <cell r="BY669" t="str">
            <v>Tek</v>
          </cell>
        </row>
        <row r="670">
          <cell r="BW670" t="str">
            <v>0</v>
          </cell>
          <cell r="BX670" t="str">
            <v/>
          </cell>
          <cell r="BY670" t="str">
            <v>Çift</v>
          </cell>
        </row>
        <row r="671">
          <cell r="BW671" t="str">
            <v>0</v>
          </cell>
          <cell r="BX671" t="str">
            <v/>
          </cell>
          <cell r="BY671" t="str">
            <v>Tek</v>
          </cell>
        </row>
        <row r="672">
          <cell r="BW672" t="str">
            <v>0</v>
          </cell>
          <cell r="BX672" t="str">
            <v/>
          </cell>
          <cell r="BY672" t="str">
            <v>Çift</v>
          </cell>
        </row>
        <row r="673">
          <cell r="BW673" t="str">
            <v>0</v>
          </cell>
          <cell r="BX673" t="str">
            <v/>
          </cell>
          <cell r="BY673" t="str">
            <v>Tek</v>
          </cell>
        </row>
        <row r="674">
          <cell r="BW674" t="str">
            <v>0</v>
          </cell>
          <cell r="BX674" t="str">
            <v/>
          </cell>
          <cell r="BY674" t="str">
            <v>Çift</v>
          </cell>
        </row>
        <row r="675">
          <cell r="BW675" t="str">
            <v>0</v>
          </cell>
          <cell r="BX675" t="str">
            <v/>
          </cell>
          <cell r="BY675" t="str">
            <v>Tek</v>
          </cell>
        </row>
        <row r="676">
          <cell r="BW676" t="str">
            <v>0</v>
          </cell>
          <cell r="BX676" t="str">
            <v/>
          </cell>
          <cell r="BY676" t="str">
            <v>Çift</v>
          </cell>
        </row>
        <row r="677">
          <cell r="BW677" t="str">
            <v>0</v>
          </cell>
          <cell r="BX677" t="str">
            <v/>
          </cell>
          <cell r="BY677" t="str">
            <v>Tek</v>
          </cell>
        </row>
        <row r="678">
          <cell r="BW678" t="str">
            <v>0</v>
          </cell>
          <cell r="BX678" t="str">
            <v/>
          </cell>
          <cell r="BY678" t="str">
            <v>Çift</v>
          </cell>
        </row>
        <row r="679">
          <cell r="BW679" t="str">
            <v>0</v>
          </cell>
          <cell r="BX679" t="str">
            <v/>
          </cell>
          <cell r="BY679" t="str">
            <v>Tek</v>
          </cell>
        </row>
        <row r="680">
          <cell r="BW680" t="str">
            <v>0</v>
          </cell>
          <cell r="BX680" t="str">
            <v/>
          </cell>
          <cell r="BY680" t="str">
            <v>Çift</v>
          </cell>
        </row>
        <row r="681">
          <cell r="BW681" t="str">
            <v>0</v>
          </cell>
          <cell r="BX681" t="str">
            <v/>
          </cell>
          <cell r="BY681" t="str">
            <v>Tek</v>
          </cell>
        </row>
        <row r="682">
          <cell r="BW682" t="str">
            <v>0</v>
          </cell>
          <cell r="BX682" t="str">
            <v/>
          </cell>
          <cell r="BY682" t="str">
            <v>Çift</v>
          </cell>
        </row>
        <row r="683">
          <cell r="BW683" t="str">
            <v>0</v>
          </cell>
          <cell r="BX683" t="str">
            <v/>
          </cell>
          <cell r="BY683" t="str">
            <v>Tek</v>
          </cell>
        </row>
        <row r="684">
          <cell r="BW684" t="str">
            <v>0</v>
          </cell>
          <cell r="BX684" t="str">
            <v/>
          </cell>
          <cell r="BY684" t="str">
            <v>Çift</v>
          </cell>
        </row>
        <row r="685">
          <cell r="BW685" t="str">
            <v>0</v>
          </cell>
          <cell r="BX685" t="str">
            <v/>
          </cell>
          <cell r="BY685" t="str">
            <v>Tek</v>
          </cell>
        </row>
        <row r="686">
          <cell r="BW686" t="str">
            <v>0</v>
          </cell>
          <cell r="BX686" t="str">
            <v/>
          </cell>
          <cell r="BY686" t="str">
            <v>Çift</v>
          </cell>
        </row>
        <row r="687">
          <cell r="BW687" t="str">
            <v>0</v>
          </cell>
          <cell r="BX687" t="str">
            <v/>
          </cell>
          <cell r="BY687" t="str">
            <v>Tek</v>
          </cell>
        </row>
        <row r="688">
          <cell r="BW688" t="str">
            <v>0</v>
          </cell>
          <cell r="BX688" t="str">
            <v/>
          </cell>
          <cell r="BY688" t="str">
            <v>Çift</v>
          </cell>
        </row>
        <row r="689">
          <cell r="BW689" t="str">
            <v>0</v>
          </cell>
          <cell r="BX689" t="str">
            <v/>
          </cell>
          <cell r="BY689" t="str">
            <v>Tek</v>
          </cell>
        </row>
        <row r="690">
          <cell r="BW690" t="str">
            <v>0</v>
          </cell>
          <cell r="BX690" t="str">
            <v/>
          </cell>
          <cell r="BY690" t="str">
            <v>Çift</v>
          </cell>
        </row>
        <row r="691">
          <cell r="BW691" t="str">
            <v>0</v>
          </cell>
          <cell r="BX691" t="str">
            <v/>
          </cell>
          <cell r="BY691" t="str">
            <v>Tek</v>
          </cell>
        </row>
        <row r="692">
          <cell r="BW692" t="str">
            <v>0</v>
          </cell>
          <cell r="BX692" t="str">
            <v/>
          </cell>
          <cell r="BY692" t="str">
            <v>Çift</v>
          </cell>
        </row>
        <row r="693">
          <cell r="BW693" t="str">
            <v>0</v>
          </cell>
          <cell r="BX693" t="str">
            <v/>
          </cell>
          <cell r="BY693" t="str">
            <v>Tek</v>
          </cell>
        </row>
        <row r="694">
          <cell r="BW694" t="str">
            <v>0</v>
          </cell>
          <cell r="BX694" t="str">
            <v/>
          </cell>
          <cell r="BY694" t="str">
            <v>Çift</v>
          </cell>
        </row>
        <row r="695">
          <cell r="BW695" t="str">
            <v>0</v>
          </cell>
          <cell r="BX695" t="str">
            <v/>
          </cell>
          <cell r="BY695" t="str">
            <v>Tek</v>
          </cell>
        </row>
        <row r="696">
          <cell r="BW696" t="str">
            <v>0</v>
          </cell>
          <cell r="BX696" t="str">
            <v/>
          </cell>
          <cell r="BY696" t="str">
            <v>Çift</v>
          </cell>
        </row>
        <row r="697">
          <cell r="BW697" t="str">
            <v>0</v>
          </cell>
          <cell r="BX697" t="str">
            <v/>
          </cell>
          <cell r="BY697" t="str">
            <v>Tek</v>
          </cell>
        </row>
        <row r="698">
          <cell r="BW698" t="str">
            <v>0</v>
          </cell>
          <cell r="BX698" t="str">
            <v/>
          </cell>
          <cell r="BY698" t="str">
            <v>Çift</v>
          </cell>
        </row>
        <row r="699">
          <cell r="BW699" t="str">
            <v>0</v>
          </cell>
          <cell r="BX699" t="str">
            <v/>
          </cell>
          <cell r="BY699" t="str">
            <v>Tek</v>
          </cell>
        </row>
        <row r="700">
          <cell r="BW700" t="str">
            <v>0</v>
          </cell>
          <cell r="BX700" t="str">
            <v/>
          </cell>
          <cell r="BY700" t="str">
            <v>Çift</v>
          </cell>
        </row>
        <row r="701">
          <cell r="BW701" t="str">
            <v>0</v>
          </cell>
          <cell r="BX701" t="str">
            <v/>
          </cell>
          <cell r="BY701" t="str">
            <v>Tek</v>
          </cell>
        </row>
        <row r="702">
          <cell r="BW702" t="str">
            <v>0</v>
          </cell>
          <cell r="BX702" t="str">
            <v/>
          </cell>
          <cell r="BY702" t="str">
            <v>Çift</v>
          </cell>
        </row>
        <row r="703">
          <cell r="BW703" t="str">
            <v>0</v>
          </cell>
          <cell r="BX703" t="str">
            <v/>
          </cell>
          <cell r="BY703" t="str">
            <v>Tek</v>
          </cell>
        </row>
        <row r="704">
          <cell r="BW704" t="str">
            <v>0</v>
          </cell>
          <cell r="BX704" t="str">
            <v/>
          </cell>
          <cell r="BY704" t="str">
            <v>Çift</v>
          </cell>
        </row>
        <row r="705">
          <cell r="BW705" t="str">
            <v>0</v>
          </cell>
          <cell r="BX705" t="str">
            <v/>
          </cell>
          <cell r="BY705" t="str">
            <v>Tek</v>
          </cell>
        </row>
        <row r="706">
          <cell r="BW706" t="str">
            <v>0</v>
          </cell>
          <cell r="BX706" t="str">
            <v/>
          </cell>
          <cell r="BY706" t="str">
            <v>Çift</v>
          </cell>
        </row>
        <row r="707">
          <cell r="BW707" t="str">
            <v>0</v>
          </cell>
          <cell r="BX707" t="str">
            <v/>
          </cell>
          <cell r="BY707" t="str">
            <v>Tek</v>
          </cell>
        </row>
        <row r="708">
          <cell r="BW708" t="str">
            <v>0</v>
          </cell>
          <cell r="BX708" t="str">
            <v/>
          </cell>
          <cell r="BY708" t="str">
            <v>Çift</v>
          </cell>
        </row>
        <row r="709">
          <cell r="BW709" t="str">
            <v>0</v>
          </cell>
          <cell r="BX709" t="str">
            <v/>
          </cell>
          <cell r="BY709" t="str">
            <v>Tek</v>
          </cell>
        </row>
        <row r="710">
          <cell r="BW710" t="str">
            <v>0</v>
          </cell>
          <cell r="BX710" t="str">
            <v/>
          </cell>
          <cell r="BY710" t="str">
            <v>Çift</v>
          </cell>
        </row>
        <row r="711">
          <cell r="BW711" t="str">
            <v>0</v>
          </cell>
          <cell r="BX711" t="str">
            <v/>
          </cell>
          <cell r="BY711" t="str">
            <v>Tek</v>
          </cell>
        </row>
        <row r="712">
          <cell r="BW712" t="str">
            <v>0</v>
          </cell>
          <cell r="BX712" t="str">
            <v/>
          </cell>
          <cell r="BY712" t="str">
            <v>Çift</v>
          </cell>
        </row>
        <row r="713">
          <cell r="BW713" t="str">
            <v>0</v>
          </cell>
          <cell r="BX713" t="str">
            <v/>
          </cell>
          <cell r="BY713" t="str">
            <v>Tek</v>
          </cell>
        </row>
        <row r="714">
          <cell r="BW714" t="str">
            <v>0</v>
          </cell>
          <cell r="BX714" t="str">
            <v/>
          </cell>
          <cell r="BY714" t="str">
            <v>Çift</v>
          </cell>
        </row>
        <row r="715">
          <cell r="BW715" t="str">
            <v>0</v>
          </cell>
          <cell r="BX715" t="str">
            <v/>
          </cell>
          <cell r="BY715" t="str">
            <v>Tek</v>
          </cell>
        </row>
        <row r="716">
          <cell r="BW716" t="str">
            <v>0</v>
          </cell>
          <cell r="BX716" t="str">
            <v/>
          </cell>
          <cell r="BY716" t="str">
            <v>Çift</v>
          </cell>
        </row>
        <row r="717">
          <cell r="BW717" t="str">
            <v>0</v>
          </cell>
          <cell r="BX717" t="str">
            <v/>
          </cell>
          <cell r="BY717" t="str">
            <v>Tek</v>
          </cell>
        </row>
        <row r="718">
          <cell r="BW718" t="str">
            <v>0</v>
          </cell>
          <cell r="BX718" t="str">
            <v/>
          </cell>
          <cell r="BY718" t="str">
            <v>Çift</v>
          </cell>
        </row>
        <row r="719">
          <cell r="BW719" t="str">
            <v>0</v>
          </cell>
          <cell r="BX719" t="str">
            <v/>
          </cell>
          <cell r="BY719" t="str">
            <v>Tek</v>
          </cell>
        </row>
        <row r="720">
          <cell r="BW720" t="str">
            <v>0</v>
          </cell>
          <cell r="BX720" t="str">
            <v/>
          </cell>
          <cell r="BY720" t="str">
            <v>Çift</v>
          </cell>
        </row>
        <row r="721">
          <cell r="BW721" t="str">
            <v>0</v>
          </cell>
          <cell r="BX721" t="str">
            <v/>
          </cell>
          <cell r="BY721" t="str">
            <v>Tek</v>
          </cell>
        </row>
        <row r="722">
          <cell r="BW722" t="str">
            <v>0</v>
          </cell>
          <cell r="BX722" t="str">
            <v/>
          </cell>
          <cell r="BY722" t="str">
            <v>Çift</v>
          </cell>
        </row>
        <row r="723">
          <cell r="BW723" t="str">
            <v>0</v>
          </cell>
          <cell r="BX723" t="str">
            <v/>
          </cell>
          <cell r="BY723" t="str">
            <v>Tek</v>
          </cell>
        </row>
        <row r="724">
          <cell r="BW724" t="str">
            <v>0</v>
          </cell>
          <cell r="BX724" t="str">
            <v/>
          </cell>
          <cell r="BY724" t="str">
            <v>Çift</v>
          </cell>
        </row>
        <row r="725">
          <cell r="BW725" t="str">
            <v>0</v>
          </cell>
          <cell r="BX725" t="str">
            <v/>
          </cell>
          <cell r="BY725" t="str">
            <v>Tek</v>
          </cell>
        </row>
        <row r="726">
          <cell r="BW726" t="str">
            <v>0</v>
          </cell>
          <cell r="BX726" t="str">
            <v/>
          </cell>
          <cell r="BY726" t="str">
            <v>Çift</v>
          </cell>
        </row>
        <row r="727">
          <cell r="BW727" t="str">
            <v>0</v>
          </cell>
          <cell r="BX727" t="str">
            <v/>
          </cell>
          <cell r="BY727" t="str">
            <v>Tek</v>
          </cell>
        </row>
        <row r="728">
          <cell r="BW728" t="str">
            <v>0</v>
          </cell>
          <cell r="BX728" t="str">
            <v/>
          </cell>
          <cell r="BY728" t="str">
            <v>Çift</v>
          </cell>
        </row>
        <row r="729">
          <cell r="BW729" t="str">
            <v>0</v>
          </cell>
          <cell r="BX729" t="str">
            <v/>
          </cell>
          <cell r="BY729" t="str">
            <v>Tek</v>
          </cell>
        </row>
        <row r="730">
          <cell r="BW730" t="str">
            <v>0</v>
          </cell>
          <cell r="BX730" t="str">
            <v/>
          </cell>
          <cell r="BY730" t="str">
            <v>Çift</v>
          </cell>
        </row>
        <row r="731">
          <cell r="BW731" t="str">
            <v>0</v>
          </cell>
          <cell r="BX731" t="str">
            <v/>
          </cell>
          <cell r="BY731" t="str">
            <v>Tek</v>
          </cell>
        </row>
        <row r="732">
          <cell r="BW732" t="str">
            <v>0</v>
          </cell>
          <cell r="BX732" t="str">
            <v/>
          </cell>
          <cell r="BY732" t="str">
            <v>Çift</v>
          </cell>
        </row>
        <row r="733">
          <cell r="BW733" t="str">
            <v>0</v>
          </cell>
          <cell r="BX733" t="str">
            <v/>
          </cell>
          <cell r="BY733" t="str">
            <v>Tek</v>
          </cell>
        </row>
        <row r="734">
          <cell r="BW734" t="str">
            <v>0</v>
          </cell>
          <cell r="BX734" t="str">
            <v/>
          </cell>
          <cell r="BY734" t="str">
            <v>Çift</v>
          </cell>
        </row>
        <row r="735">
          <cell r="BW735" t="str">
            <v>0</v>
          </cell>
          <cell r="BX735" t="str">
            <v/>
          </cell>
          <cell r="BY735" t="str">
            <v>Tek</v>
          </cell>
        </row>
        <row r="736">
          <cell r="BW736" t="str">
            <v>0</v>
          </cell>
          <cell r="BX736" t="str">
            <v/>
          </cell>
          <cell r="BY736" t="str">
            <v>Çift</v>
          </cell>
        </row>
        <row r="737">
          <cell r="BW737" t="str">
            <v>0</v>
          </cell>
          <cell r="BX737" t="str">
            <v/>
          </cell>
          <cell r="BY737" t="str">
            <v>Tek</v>
          </cell>
        </row>
        <row r="738">
          <cell r="BW738" t="str">
            <v>0</v>
          </cell>
          <cell r="BX738" t="str">
            <v/>
          </cell>
          <cell r="BY738" t="str">
            <v>Çift</v>
          </cell>
        </row>
        <row r="739">
          <cell r="BW739" t="str">
            <v>0</v>
          </cell>
          <cell r="BX739" t="str">
            <v/>
          </cell>
          <cell r="BY739" t="str">
            <v>Tek</v>
          </cell>
        </row>
        <row r="740">
          <cell r="BW740" t="str">
            <v>0</v>
          </cell>
          <cell r="BX740" t="str">
            <v/>
          </cell>
          <cell r="BY740" t="str">
            <v>Çift</v>
          </cell>
        </row>
        <row r="741">
          <cell r="BW741" t="str">
            <v>0</v>
          </cell>
          <cell r="BX741" t="str">
            <v/>
          </cell>
          <cell r="BY741" t="str">
            <v>Tek</v>
          </cell>
        </row>
        <row r="742">
          <cell r="BW742" t="str">
            <v>0</v>
          </cell>
          <cell r="BX742" t="str">
            <v/>
          </cell>
          <cell r="BY742" t="str">
            <v>Çift</v>
          </cell>
        </row>
        <row r="743">
          <cell r="BW743" t="str">
            <v>0</v>
          </cell>
          <cell r="BX743" t="str">
            <v/>
          </cell>
          <cell r="BY743" t="str">
            <v>Tek</v>
          </cell>
        </row>
        <row r="744">
          <cell r="BW744" t="str">
            <v>0</v>
          </cell>
          <cell r="BX744" t="str">
            <v/>
          </cell>
          <cell r="BY744" t="str">
            <v>Çift</v>
          </cell>
        </row>
        <row r="745">
          <cell r="BW745" t="str">
            <v>0</v>
          </cell>
          <cell r="BX745" t="str">
            <v/>
          </cell>
          <cell r="BY745" t="str">
            <v>Tek</v>
          </cell>
        </row>
        <row r="746">
          <cell r="BW746" t="str">
            <v>0</v>
          </cell>
          <cell r="BX746" t="str">
            <v/>
          </cell>
          <cell r="BY746" t="str">
            <v>Çift</v>
          </cell>
        </row>
        <row r="747">
          <cell r="BW747" t="str">
            <v>0</v>
          </cell>
          <cell r="BX747" t="str">
            <v/>
          </cell>
          <cell r="BY747" t="str">
            <v>Tek</v>
          </cell>
        </row>
        <row r="748">
          <cell r="BW748" t="str">
            <v>0</v>
          </cell>
          <cell r="BX748" t="str">
            <v/>
          </cell>
          <cell r="BY748" t="str">
            <v>Çift</v>
          </cell>
        </row>
        <row r="749">
          <cell r="BW749" t="str">
            <v>0</v>
          </cell>
          <cell r="BX749" t="str">
            <v/>
          </cell>
          <cell r="BY749" t="str">
            <v>Tek</v>
          </cell>
        </row>
        <row r="750">
          <cell r="BW750" t="str">
            <v>0</v>
          </cell>
          <cell r="BX750" t="str">
            <v/>
          </cell>
          <cell r="BY750" t="str">
            <v>Çift</v>
          </cell>
        </row>
        <row r="751">
          <cell r="BW751" t="str">
            <v>0</v>
          </cell>
          <cell r="BX751" t="str">
            <v/>
          </cell>
          <cell r="BY751" t="str">
            <v>Tek</v>
          </cell>
        </row>
        <row r="752">
          <cell r="BW752" t="str">
            <v>0</v>
          </cell>
          <cell r="BX752" t="str">
            <v/>
          </cell>
          <cell r="BY752" t="str">
            <v>Çift</v>
          </cell>
        </row>
        <row r="753">
          <cell r="BW753" t="str">
            <v>0</v>
          </cell>
          <cell r="BX753" t="str">
            <v/>
          </cell>
          <cell r="BY753" t="str">
            <v>Tek</v>
          </cell>
        </row>
        <row r="754">
          <cell r="BW754" t="str">
            <v>0</v>
          </cell>
          <cell r="BX754" t="str">
            <v/>
          </cell>
          <cell r="BY754" t="str">
            <v>Çift</v>
          </cell>
        </row>
        <row r="755">
          <cell r="BW755" t="str">
            <v>0</v>
          </cell>
          <cell r="BX755" t="str">
            <v/>
          </cell>
          <cell r="BY755" t="str">
            <v>Tek</v>
          </cell>
        </row>
        <row r="756">
          <cell r="BW756" t="str">
            <v>0</v>
          </cell>
          <cell r="BX756" t="str">
            <v/>
          </cell>
          <cell r="BY756" t="str">
            <v>Çift</v>
          </cell>
        </row>
        <row r="757">
          <cell r="BW757" t="str">
            <v>0</v>
          </cell>
          <cell r="BX757" t="str">
            <v/>
          </cell>
          <cell r="BY757" t="str">
            <v>Tek</v>
          </cell>
        </row>
        <row r="758">
          <cell r="BW758" t="str">
            <v>0</v>
          </cell>
          <cell r="BX758" t="str">
            <v/>
          </cell>
          <cell r="BY758" t="str">
            <v>Çift</v>
          </cell>
        </row>
        <row r="759">
          <cell r="BW759" t="str">
            <v>0</v>
          </cell>
          <cell r="BX759" t="str">
            <v/>
          </cell>
          <cell r="BY759" t="str">
            <v>Tek</v>
          </cell>
        </row>
        <row r="760">
          <cell r="BW760" t="str">
            <v>0</v>
          </cell>
          <cell r="BX760" t="str">
            <v/>
          </cell>
          <cell r="BY760" t="str">
            <v>Çift</v>
          </cell>
        </row>
        <row r="761">
          <cell r="BW761" t="str">
            <v>0</v>
          </cell>
          <cell r="BX761" t="str">
            <v/>
          </cell>
          <cell r="BY761" t="str">
            <v>Tek</v>
          </cell>
        </row>
        <row r="762">
          <cell r="BW762" t="str">
            <v>0</v>
          </cell>
          <cell r="BX762" t="str">
            <v/>
          </cell>
          <cell r="BY762" t="str">
            <v>Çift</v>
          </cell>
        </row>
        <row r="763">
          <cell r="BW763" t="str">
            <v>0</v>
          </cell>
          <cell r="BX763" t="str">
            <v/>
          </cell>
          <cell r="BY763" t="str">
            <v>Tek</v>
          </cell>
        </row>
        <row r="764">
          <cell r="BW764" t="str">
            <v>0</v>
          </cell>
          <cell r="BX764" t="str">
            <v/>
          </cell>
          <cell r="BY764" t="str">
            <v>Çift</v>
          </cell>
        </row>
        <row r="765">
          <cell r="BW765" t="str">
            <v>0</v>
          </cell>
          <cell r="BX765" t="str">
            <v/>
          </cell>
          <cell r="BY765" t="str">
            <v>Tek</v>
          </cell>
        </row>
        <row r="766">
          <cell r="BW766" t="str">
            <v>0</v>
          </cell>
          <cell r="BX766" t="str">
            <v/>
          </cell>
          <cell r="BY766" t="str">
            <v>Çift</v>
          </cell>
        </row>
        <row r="767">
          <cell r="BW767" t="str">
            <v>0</v>
          </cell>
          <cell r="BX767" t="str">
            <v/>
          </cell>
          <cell r="BY767" t="str">
            <v>Tek</v>
          </cell>
        </row>
        <row r="768">
          <cell r="BW768" t="str">
            <v>0</v>
          </cell>
          <cell r="BX768" t="str">
            <v/>
          </cell>
          <cell r="BY768" t="str">
            <v>Çift</v>
          </cell>
        </row>
        <row r="769">
          <cell r="BW769" t="str">
            <v>0</v>
          </cell>
          <cell r="BX769" t="str">
            <v/>
          </cell>
          <cell r="BY769" t="str">
            <v>Tek</v>
          </cell>
        </row>
        <row r="770">
          <cell r="BW770" t="str">
            <v>0</v>
          </cell>
          <cell r="BX770" t="str">
            <v/>
          </cell>
          <cell r="BY770" t="str">
            <v>Çift</v>
          </cell>
        </row>
        <row r="771">
          <cell r="BW771" t="str">
            <v>0</v>
          </cell>
          <cell r="BX771" t="str">
            <v/>
          </cell>
          <cell r="BY771" t="str">
            <v>Tek</v>
          </cell>
        </row>
        <row r="772">
          <cell r="BW772" t="str">
            <v>0</v>
          </cell>
          <cell r="BX772" t="str">
            <v/>
          </cell>
          <cell r="BY772" t="str">
            <v>Çift</v>
          </cell>
        </row>
        <row r="773">
          <cell r="BW773" t="str">
            <v>0</v>
          </cell>
          <cell r="BX773" t="str">
            <v/>
          </cell>
          <cell r="BY773" t="str">
            <v>Tek</v>
          </cell>
        </row>
        <row r="774">
          <cell r="BW774" t="str">
            <v>0</v>
          </cell>
          <cell r="BX774" t="str">
            <v/>
          </cell>
          <cell r="BY774" t="str">
            <v>Çift</v>
          </cell>
        </row>
        <row r="775">
          <cell r="BW775" t="str">
            <v>0</v>
          </cell>
          <cell r="BX775" t="str">
            <v/>
          </cell>
          <cell r="BY775" t="str">
            <v>Tek</v>
          </cell>
        </row>
        <row r="776">
          <cell r="BW776" t="str">
            <v>0</v>
          </cell>
          <cell r="BX776" t="str">
            <v/>
          </cell>
          <cell r="BY776" t="str">
            <v>Çift</v>
          </cell>
        </row>
        <row r="777">
          <cell r="BW777" t="str">
            <v>0</v>
          </cell>
          <cell r="BX777" t="str">
            <v/>
          </cell>
          <cell r="BY777" t="str">
            <v>Tek</v>
          </cell>
        </row>
        <row r="778">
          <cell r="BW778" t="str">
            <v>0</v>
          </cell>
          <cell r="BX778" t="str">
            <v/>
          </cell>
          <cell r="BY778" t="str">
            <v>Çift</v>
          </cell>
        </row>
        <row r="779">
          <cell r="BW779" t="str">
            <v>0</v>
          </cell>
          <cell r="BX779" t="str">
            <v/>
          </cell>
          <cell r="BY779" t="str">
            <v>Tek</v>
          </cell>
        </row>
        <row r="780">
          <cell r="BW780" t="str">
            <v>0</v>
          </cell>
          <cell r="BX780" t="str">
            <v/>
          </cell>
          <cell r="BY780" t="str">
            <v>Çift</v>
          </cell>
        </row>
        <row r="781">
          <cell r="BW781" t="str">
            <v>0</v>
          </cell>
          <cell r="BX781" t="str">
            <v/>
          </cell>
          <cell r="BY781" t="str">
            <v>Tek</v>
          </cell>
        </row>
        <row r="782">
          <cell r="BW782" t="str">
            <v>0</v>
          </cell>
          <cell r="BX782" t="str">
            <v/>
          </cell>
          <cell r="BY782" t="str">
            <v>Çift</v>
          </cell>
        </row>
        <row r="783">
          <cell r="BW783" t="str">
            <v>0</v>
          </cell>
          <cell r="BX783" t="str">
            <v/>
          </cell>
          <cell r="BY783" t="str">
            <v>Tek</v>
          </cell>
        </row>
        <row r="784">
          <cell r="BW784" t="str">
            <v>0</v>
          </cell>
          <cell r="BX784" t="str">
            <v/>
          </cell>
          <cell r="BY784" t="str">
            <v>Çift</v>
          </cell>
        </row>
        <row r="785">
          <cell r="BW785" t="str">
            <v>0</v>
          </cell>
          <cell r="BX785" t="str">
            <v/>
          </cell>
          <cell r="BY785" t="str">
            <v>Tek</v>
          </cell>
        </row>
        <row r="786">
          <cell r="BW786" t="str">
            <v>0</v>
          </cell>
          <cell r="BX786" t="str">
            <v/>
          </cell>
          <cell r="BY786" t="str">
            <v>Çift</v>
          </cell>
        </row>
        <row r="787">
          <cell r="BW787" t="str">
            <v>0</v>
          </cell>
          <cell r="BX787" t="str">
            <v/>
          </cell>
          <cell r="BY787" t="str">
            <v>Tek</v>
          </cell>
        </row>
        <row r="788">
          <cell r="BW788" t="str">
            <v>0</v>
          </cell>
          <cell r="BX788" t="str">
            <v/>
          </cell>
          <cell r="BY788" t="str">
            <v>Çift</v>
          </cell>
        </row>
        <row r="789">
          <cell r="BW789" t="str">
            <v>0</v>
          </cell>
          <cell r="BX789" t="str">
            <v/>
          </cell>
          <cell r="BY789" t="str">
            <v>Tek</v>
          </cell>
        </row>
        <row r="790">
          <cell r="BW790" t="str">
            <v>0</v>
          </cell>
          <cell r="BX790" t="str">
            <v/>
          </cell>
          <cell r="BY790" t="str">
            <v>Çift</v>
          </cell>
        </row>
        <row r="791">
          <cell r="BW791" t="str">
            <v>0</v>
          </cell>
          <cell r="BX791" t="str">
            <v/>
          </cell>
          <cell r="BY791" t="str">
            <v>Tek</v>
          </cell>
        </row>
        <row r="792">
          <cell r="BW792" t="str">
            <v>0</v>
          </cell>
          <cell r="BX792" t="str">
            <v/>
          </cell>
          <cell r="BY792" t="str">
            <v>Çift</v>
          </cell>
        </row>
        <row r="793">
          <cell r="BW793" t="str">
            <v>0</v>
          </cell>
          <cell r="BX793" t="str">
            <v/>
          </cell>
          <cell r="BY793" t="str">
            <v>Tek</v>
          </cell>
        </row>
        <row r="794">
          <cell r="BW794" t="str">
            <v>0</v>
          </cell>
          <cell r="BX794" t="str">
            <v/>
          </cell>
          <cell r="BY794" t="str">
            <v>Çift</v>
          </cell>
        </row>
        <row r="795">
          <cell r="BW795" t="str">
            <v>0</v>
          </cell>
          <cell r="BX795" t="str">
            <v/>
          </cell>
          <cell r="BY795" t="str">
            <v>Tek</v>
          </cell>
        </row>
        <row r="796">
          <cell r="BW796" t="str">
            <v>0</v>
          </cell>
          <cell r="BX796" t="str">
            <v/>
          </cell>
          <cell r="BY796" t="str">
            <v>Çift</v>
          </cell>
        </row>
        <row r="797">
          <cell r="BW797" t="str">
            <v>0</v>
          </cell>
          <cell r="BX797" t="str">
            <v/>
          </cell>
          <cell r="BY797" t="str">
            <v>Tek</v>
          </cell>
        </row>
        <row r="798">
          <cell r="BW798" t="str">
            <v>0</v>
          </cell>
          <cell r="BX798" t="str">
            <v/>
          </cell>
          <cell r="BY798" t="str">
            <v>Çift</v>
          </cell>
        </row>
        <row r="799">
          <cell r="BW799" t="str">
            <v>0</v>
          </cell>
          <cell r="BX799" t="str">
            <v/>
          </cell>
          <cell r="BY799" t="str">
            <v>Tek</v>
          </cell>
        </row>
        <row r="800">
          <cell r="BW800" t="str">
            <v>0</v>
          </cell>
          <cell r="BX800" t="str">
            <v/>
          </cell>
          <cell r="BY800" t="str">
            <v>Çift</v>
          </cell>
        </row>
        <row r="801">
          <cell r="BW801" t="str">
            <v>0</v>
          </cell>
          <cell r="BX801" t="str">
            <v/>
          </cell>
          <cell r="BY801" t="str">
            <v>Tek</v>
          </cell>
        </row>
        <row r="802">
          <cell r="BW802" t="str">
            <v>0</v>
          </cell>
          <cell r="BX802" t="str">
            <v/>
          </cell>
          <cell r="BY802" t="str">
            <v>Çift</v>
          </cell>
        </row>
        <row r="803">
          <cell r="BW803" t="str">
            <v>0</v>
          </cell>
          <cell r="BX803" t="str">
            <v/>
          </cell>
          <cell r="BY803" t="str">
            <v>Tek</v>
          </cell>
        </row>
        <row r="804">
          <cell r="BW804" t="str">
            <v>0</v>
          </cell>
          <cell r="BX804" t="str">
            <v/>
          </cell>
          <cell r="BY804" t="str">
            <v>Çift</v>
          </cell>
        </row>
        <row r="805">
          <cell r="BW805" t="str">
            <v>0</v>
          </cell>
          <cell r="BX805" t="str">
            <v/>
          </cell>
          <cell r="BY805" t="str">
            <v>Tek</v>
          </cell>
        </row>
        <row r="806">
          <cell r="BW806" t="str">
            <v>0</v>
          </cell>
          <cell r="BX806" t="str">
            <v/>
          </cell>
          <cell r="BY806" t="str">
            <v>Çift</v>
          </cell>
        </row>
        <row r="807">
          <cell r="BW807" t="str">
            <v>0</v>
          </cell>
          <cell r="BX807" t="str">
            <v/>
          </cell>
          <cell r="BY807" t="str">
            <v>Tek</v>
          </cell>
        </row>
        <row r="808">
          <cell r="BW808" t="str">
            <v>0</v>
          </cell>
          <cell r="BX808" t="str">
            <v/>
          </cell>
          <cell r="BY808" t="str">
            <v>Çift</v>
          </cell>
        </row>
        <row r="809">
          <cell r="BW809" t="str">
            <v>0</v>
          </cell>
          <cell r="BX809" t="str">
            <v/>
          </cell>
          <cell r="BY809" t="str">
            <v>Tek</v>
          </cell>
        </row>
        <row r="810">
          <cell r="BW810" t="str">
            <v>0</v>
          </cell>
          <cell r="BX810" t="str">
            <v/>
          </cell>
          <cell r="BY810" t="str">
            <v>Çift</v>
          </cell>
        </row>
        <row r="811">
          <cell r="BW811" t="str">
            <v>0</v>
          </cell>
          <cell r="BX811" t="str">
            <v/>
          </cell>
          <cell r="BY811" t="str">
            <v>Tek</v>
          </cell>
        </row>
        <row r="812">
          <cell r="BW812" t="str">
            <v>0</v>
          </cell>
          <cell r="BX812" t="str">
            <v/>
          </cell>
          <cell r="BY812" t="str">
            <v>Çift</v>
          </cell>
        </row>
        <row r="813">
          <cell r="BW813" t="str">
            <v>0</v>
          </cell>
          <cell r="BX813" t="str">
            <v/>
          </cell>
          <cell r="BY813" t="str">
            <v>Tek</v>
          </cell>
        </row>
        <row r="814">
          <cell r="BW814" t="str">
            <v>0</v>
          </cell>
          <cell r="BX814" t="str">
            <v/>
          </cell>
          <cell r="BY814" t="str">
            <v>Çift</v>
          </cell>
        </row>
        <row r="815">
          <cell r="BW815" t="str">
            <v>0</v>
          </cell>
          <cell r="BX815" t="str">
            <v/>
          </cell>
          <cell r="BY815" t="str">
            <v>Tek</v>
          </cell>
        </row>
        <row r="816">
          <cell r="BW816" t="str">
            <v>0</v>
          </cell>
          <cell r="BX816" t="str">
            <v/>
          </cell>
          <cell r="BY816" t="str">
            <v>Çift</v>
          </cell>
        </row>
        <row r="817">
          <cell r="BW817" t="str">
            <v>0</v>
          </cell>
          <cell r="BX817" t="str">
            <v/>
          </cell>
          <cell r="BY817" t="str">
            <v>Tek</v>
          </cell>
        </row>
        <row r="818">
          <cell r="BW818" t="str">
            <v>0</v>
          </cell>
          <cell r="BX818" t="str">
            <v/>
          </cell>
          <cell r="BY818" t="str">
            <v>Çift</v>
          </cell>
        </row>
        <row r="819">
          <cell r="BW819" t="str">
            <v>0</v>
          </cell>
          <cell r="BX819" t="str">
            <v/>
          </cell>
          <cell r="BY819" t="str">
            <v>Tek</v>
          </cell>
        </row>
        <row r="820">
          <cell r="BW820" t="str">
            <v>0</v>
          </cell>
          <cell r="BX820" t="str">
            <v/>
          </cell>
          <cell r="BY820" t="str">
            <v>Çift</v>
          </cell>
        </row>
        <row r="821">
          <cell r="BW821" t="str">
            <v>0</v>
          </cell>
          <cell r="BX821" t="str">
            <v/>
          </cell>
          <cell r="BY821" t="str">
            <v>Tek</v>
          </cell>
        </row>
        <row r="822">
          <cell r="BW822" t="str">
            <v>0</v>
          </cell>
          <cell r="BX822" t="str">
            <v/>
          </cell>
          <cell r="BY822" t="str">
            <v>Çift</v>
          </cell>
        </row>
        <row r="823">
          <cell r="BW823" t="str">
            <v>0</v>
          </cell>
          <cell r="BX823" t="str">
            <v/>
          </cell>
          <cell r="BY823" t="str">
            <v>Tek</v>
          </cell>
        </row>
        <row r="824">
          <cell r="BW824" t="str">
            <v>0</v>
          </cell>
          <cell r="BX824" t="str">
            <v/>
          </cell>
          <cell r="BY824" t="str">
            <v>Çift</v>
          </cell>
        </row>
        <row r="825">
          <cell r="BW825" t="str">
            <v>0</v>
          </cell>
          <cell r="BX825" t="str">
            <v/>
          </cell>
          <cell r="BY825" t="str">
            <v>Tek</v>
          </cell>
        </row>
        <row r="826">
          <cell r="BW826" t="str">
            <v>0</v>
          </cell>
          <cell r="BX826" t="str">
            <v/>
          </cell>
          <cell r="BY826" t="str">
            <v>Çift</v>
          </cell>
        </row>
        <row r="827">
          <cell r="BW827" t="str">
            <v>0</v>
          </cell>
          <cell r="BX827" t="str">
            <v/>
          </cell>
          <cell r="BY827" t="str">
            <v>Tek</v>
          </cell>
        </row>
        <row r="828">
          <cell r="BW828" t="str">
            <v>0</v>
          </cell>
          <cell r="BX828" t="str">
            <v/>
          </cell>
          <cell r="BY828" t="str">
            <v>Çift</v>
          </cell>
        </row>
        <row r="829">
          <cell r="BW829" t="str">
            <v>0</v>
          </cell>
          <cell r="BX829" t="str">
            <v/>
          </cell>
          <cell r="BY829" t="str">
            <v>Tek</v>
          </cell>
        </row>
        <row r="830">
          <cell r="BW830" t="str">
            <v>0</v>
          </cell>
          <cell r="BX830" t="str">
            <v/>
          </cell>
          <cell r="BY830" t="str">
            <v>Çift</v>
          </cell>
        </row>
        <row r="831">
          <cell r="BW831" t="str">
            <v>0</v>
          </cell>
          <cell r="BX831" t="str">
            <v/>
          </cell>
          <cell r="BY831" t="str">
            <v>Tek</v>
          </cell>
        </row>
        <row r="832">
          <cell r="BW832" t="str">
            <v>0</v>
          </cell>
          <cell r="BX832" t="str">
            <v/>
          </cell>
          <cell r="BY832" t="str">
            <v>Çift</v>
          </cell>
        </row>
        <row r="833">
          <cell r="BW833" t="str">
            <v>0</v>
          </cell>
          <cell r="BX833" t="str">
            <v/>
          </cell>
          <cell r="BY833" t="str">
            <v>Tek</v>
          </cell>
        </row>
        <row r="834">
          <cell r="BW834" t="str">
            <v>0</v>
          </cell>
          <cell r="BX834" t="str">
            <v/>
          </cell>
          <cell r="BY834" t="str">
            <v>Çift</v>
          </cell>
        </row>
        <row r="835">
          <cell r="BW835" t="str">
            <v>0</v>
          </cell>
          <cell r="BX835" t="str">
            <v/>
          </cell>
          <cell r="BY835" t="str">
            <v>Tek</v>
          </cell>
        </row>
        <row r="836">
          <cell r="BW836" t="str">
            <v>0</v>
          </cell>
          <cell r="BX836" t="str">
            <v/>
          </cell>
          <cell r="BY836" t="str">
            <v>Çift</v>
          </cell>
        </row>
        <row r="837">
          <cell r="BW837" t="str">
            <v>0</v>
          </cell>
          <cell r="BX837" t="str">
            <v/>
          </cell>
          <cell r="BY837" t="str">
            <v>Tek</v>
          </cell>
        </row>
        <row r="838">
          <cell r="BW838" t="str">
            <v>0</v>
          </cell>
          <cell r="BX838" t="str">
            <v/>
          </cell>
          <cell r="BY838" t="str">
            <v>Çift</v>
          </cell>
        </row>
        <row r="839">
          <cell r="BW839" t="str">
            <v>0</v>
          </cell>
          <cell r="BX839" t="str">
            <v/>
          </cell>
          <cell r="BY839" t="str">
            <v>Tek</v>
          </cell>
        </row>
        <row r="840">
          <cell r="BW840" t="str">
            <v>0</v>
          </cell>
          <cell r="BX840" t="str">
            <v/>
          </cell>
          <cell r="BY840" t="str">
            <v>Çift</v>
          </cell>
        </row>
        <row r="841">
          <cell r="BW841" t="str">
            <v>0</v>
          </cell>
          <cell r="BX841" t="str">
            <v/>
          </cell>
          <cell r="BY841" t="str">
            <v>Tek</v>
          </cell>
        </row>
        <row r="842">
          <cell r="BW842" t="str">
            <v>0</v>
          </cell>
          <cell r="BX842" t="str">
            <v/>
          </cell>
          <cell r="BY842" t="str">
            <v>Çift</v>
          </cell>
        </row>
        <row r="843">
          <cell r="BW843" t="str">
            <v>0</v>
          </cell>
          <cell r="BX843" t="str">
            <v/>
          </cell>
          <cell r="BY843" t="str">
            <v>Tek</v>
          </cell>
        </row>
        <row r="844">
          <cell r="BW844" t="str">
            <v>0</v>
          </cell>
          <cell r="BX844" t="str">
            <v/>
          </cell>
          <cell r="BY844" t="str">
            <v>Çift</v>
          </cell>
        </row>
        <row r="845">
          <cell r="BW845" t="str">
            <v>0</v>
          </cell>
          <cell r="BX845" t="str">
            <v/>
          </cell>
          <cell r="BY845" t="str">
            <v>Tek</v>
          </cell>
        </row>
        <row r="846">
          <cell r="BW846" t="str">
            <v>0</v>
          </cell>
          <cell r="BX846" t="str">
            <v/>
          </cell>
          <cell r="BY846" t="str">
            <v>Çift</v>
          </cell>
        </row>
        <row r="847">
          <cell r="BW847" t="str">
            <v>0</v>
          </cell>
          <cell r="BX847" t="str">
            <v/>
          </cell>
          <cell r="BY847" t="str">
            <v>Tek</v>
          </cell>
        </row>
        <row r="848">
          <cell r="BW848" t="str">
            <v>0</v>
          </cell>
          <cell r="BX848" t="str">
            <v/>
          </cell>
          <cell r="BY848" t="str">
            <v>Çift</v>
          </cell>
        </row>
        <row r="849">
          <cell r="BW849" t="str">
            <v>0</v>
          </cell>
          <cell r="BX849" t="str">
            <v/>
          </cell>
          <cell r="BY849" t="str">
            <v>Tek</v>
          </cell>
        </row>
        <row r="850">
          <cell r="BW850" t="str">
            <v>0</v>
          </cell>
          <cell r="BX850" t="str">
            <v/>
          </cell>
          <cell r="BY850" t="str">
            <v>Çift</v>
          </cell>
        </row>
        <row r="851">
          <cell r="BW851" t="str">
            <v>0</v>
          </cell>
          <cell r="BX851" t="str">
            <v/>
          </cell>
          <cell r="BY851" t="str">
            <v>Tek</v>
          </cell>
        </row>
        <row r="852">
          <cell r="BW852" t="str">
            <v>0</v>
          </cell>
          <cell r="BX852" t="str">
            <v/>
          </cell>
          <cell r="BY852" t="str">
            <v>Çift</v>
          </cell>
        </row>
        <row r="853">
          <cell r="BW853" t="str">
            <v>0</v>
          </cell>
          <cell r="BX853" t="str">
            <v/>
          </cell>
          <cell r="BY853" t="str">
            <v>Tek</v>
          </cell>
        </row>
        <row r="854">
          <cell r="BW854" t="str">
            <v>0</v>
          </cell>
          <cell r="BX854" t="str">
            <v/>
          </cell>
          <cell r="BY854" t="str">
            <v>Çift</v>
          </cell>
        </row>
        <row r="855">
          <cell r="BW855" t="str">
            <v>0</v>
          </cell>
          <cell r="BX855" t="str">
            <v/>
          </cell>
          <cell r="BY855" t="str">
            <v>Tek</v>
          </cell>
        </row>
        <row r="856">
          <cell r="BW856" t="str">
            <v>0</v>
          </cell>
          <cell r="BX856" t="str">
            <v/>
          </cell>
          <cell r="BY856" t="str">
            <v>Çift</v>
          </cell>
        </row>
        <row r="857">
          <cell r="BW857" t="str">
            <v>0</v>
          </cell>
          <cell r="BX857" t="str">
            <v/>
          </cell>
          <cell r="BY857" t="str">
            <v>Tek</v>
          </cell>
        </row>
        <row r="858">
          <cell r="BW858" t="str">
            <v>0</v>
          </cell>
          <cell r="BX858" t="str">
            <v/>
          </cell>
          <cell r="BY858" t="str">
            <v>Çift</v>
          </cell>
        </row>
        <row r="859">
          <cell r="BW859" t="str">
            <v>0</v>
          </cell>
          <cell r="BX859" t="str">
            <v/>
          </cell>
          <cell r="BY859" t="str">
            <v>Tek</v>
          </cell>
        </row>
        <row r="860">
          <cell r="BW860" t="str">
            <v>0</v>
          </cell>
          <cell r="BX860" t="str">
            <v/>
          </cell>
          <cell r="BY860" t="str">
            <v>Çift</v>
          </cell>
        </row>
        <row r="861">
          <cell r="BW861" t="str">
            <v>0</v>
          </cell>
          <cell r="BX861" t="str">
            <v/>
          </cell>
          <cell r="BY861" t="str">
            <v>Tek</v>
          </cell>
        </row>
        <row r="862">
          <cell r="BW862" t="str">
            <v>0</v>
          </cell>
          <cell r="BX862" t="str">
            <v/>
          </cell>
          <cell r="BY862" t="str">
            <v>Çift</v>
          </cell>
        </row>
        <row r="863">
          <cell r="BW863" t="str">
            <v>0</v>
          </cell>
          <cell r="BX863" t="str">
            <v/>
          </cell>
          <cell r="BY863" t="str">
            <v>Tek</v>
          </cell>
        </row>
        <row r="864">
          <cell r="BW864" t="str">
            <v>0</v>
          </cell>
          <cell r="BX864" t="str">
            <v/>
          </cell>
          <cell r="BY864" t="str">
            <v>Çift</v>
          </cell>
        </row>
        <row r="865">
          <cell r="BW865" t="str">
            <v>0</v>
          </cell>
          <cell r="BX865" t="str">
            <v/>
          </cell>
          <cell r="BY865" t="str">
            <v>Tek</v>
          </cell>
        </row>
        <row r="866">
          <cell r="BW866" t="str">
            <v>0</v>
          </cell>
          <cell r="BX866" t="str">
            <v/>
          </cell>
          <cell r="BY866" t="str">
            <v>Çift</v>
          </cell>
        </row>
        <row r="867">
          <cell r="BW867" t="str">
            <v>0</v>
          </cell>
          <cell r="BX867" t="str">
            <v/>
          </cell>
          <cell r="BY867" t="str">
            <v>Tek</v>
          </cell>
        </row>
        <row r="868">
          <cell r="BW868" t="str">
            <v>0</v>
          </cell>
          <cell r="BX868" t="str">
            <v/>
          </cell>
          <cell r="BY868" t="str">
            <v>Çift</v>
          </cell>
        </row>
        <row r="869">
          <cell r="BW869" t="str">
            <v>0</v>
          </cell>
          <cell r="BX869" t="str">
            <v/>
          </cell>
          <cell r="BY869" t="str">
            <v>Tek</v>
          </cell>
        </row>
        <row r="870">
          <cell r="BW870" t="str">
            <v>0</v>
          </cell>
          <cell r="BX870" t="str">
            <v/>
          </cell>
          <cell r="BY870" t="str">
            <v>Çift</v>
          </cell>
        </row>
        <row r="871">
          <cell r="BW871" t="str">
            <v>0</v>
          </cell>
          <cell r="BX871" t="str">
            <v/>
          </cell>
          <cell r="BY871" t="str">
            <v>Tek</v>
          </cell>
        </row>
        <row r="872">
          <cell r="BW872" t="str">
            <v>0</v>
          </cell>
          <cell r="BX872" t="str">
            <v/>
          </cell>
          <cell r="BY872" t="str">
            <v>Çift</v>
          </cell>
        </row>
        <row r="873">
          <cell r="BW873" t="str">
            <v>0</v>
          </cell>
          <cell r="BX873" t="str">
            <v/>
          </cell>
          <cell r="BY873" t="str">
            <v>Tek</v>
          </cell>
        </row>
        <row r="874">
          <cell r="BW874" t="str">
            <v>0</v>
          </cell>
          <cell r="BX874" t="str">
            <v/>
          </cell>
          <cell r="BY874" t="str">
            <v>Çift</v>
          </cell>
        </row>
        <row r="875">
          <cell r="BW875" t="str">
            <v>0</v>
          </cell>
          <cell r="BX875" t="str">
            <v/>
          </cell>
          <cell r="BY875" t="str">
            <v>Tek</v>
          </cell>
        </row>
        <row r="876">
          <cell r="BW876" t="str">
            <v>0</v>
          </cell>
          <cell r="BX876" t="str">
            <v/>
          </cell>
          <cell r="BY876" t="str">
            <v>Çift</v>
          </cell>
        </row>
        <row r="877">
          <cell r="BW877" t="str">
            <v>0</v>
          </cell>
          <cell r="BX877" t="str">
            <v/>
          </cell>
          <cell r="BY877" t="str">
            <v>Tek</v>
          </cell>
        </row>
        <row r="878">
          <cell r="BW878" t="str">
            <v>0</v>
          </cell>
          <cell r="BX878" t="str">
            <v/>
          </cell>
          <cell r="BY878" t="str">
            <v>Çift</v>
          </cell>
        </row>
        <row r="879">
          <cell r="BW879" t="str">
            <v>0</v>
          </cell>
          <cell r="BX879" t="str">
            <v/>
          </cell>
          <cell r="BY879" t="str">
            <v>Tek</v>
          </cell>
        </row>
        <row r="880">
          <cell r="BW880" t="str">
            <v>0</v>
          </cell>
          <cell r="BX880" t="str">
            <v/>
          </cell>
          <cell r="BY880" t="str">
            <v>Çift</v>
          </cell>
        </row>
        <row r="881">
          <cell r="BW881" t="str">
            <v>0</v>
          </cell>
          <cell r="BX881" t="str">
            <v/>
          </cell>
          <cell r="BY881" t="str">
            <v>Tek</v>
          </cell>
        </row>
        <row r="882">
          <cell r="BW882" t="str">
            <v>0</v>
          </cell>
          <cell r="BX882" t="str">
            <v/>
          </cell>
          <cell r="BY882" t="str">
            <v>Çift</v>
          </cell>
        </row>
        <row r="883">
          <cell r="BW883" t="str">
            <v>0</v>
          </cell>
          <cell r="BX883" t="str">
            <v/>
          </cell>
          <cell r="BY883" t="str">
            <v>Tek</v>
          </cell>
        </row>
        <row r="884">
          <cell r="BW884" t="str">
            <v>0</v>
          </cell>
          <cell r="BX884" t="str">
            <v/>
          </cell>
          <cell r="BY884" t="str">
            <v>Çift</v>
          </cell>
        </row>
        <row r="885">
          <cell r="BW885" t="str">
            <v>0</v>
          </cell>
          <cell r="BX885" t="str">
            <v/>
          </cell>
          <cell r="BY885" t="str">
            <v>Tek</v>
          </cell>
        </row>
        <row r="886">
          <cell r="BW886" t="str">
            <v>0</v>
          </cell>
          <cell r="BX886" t="str">
            <v/>
          </cell>
          <cell r="BY886" t="str">
            <v>Çift</v>
          </cell>
        </row>
        <row r="887">
          <cell r="BW887" t="str">
            <v>0</v>
          </cell>
          <cell r="BX887" t="str">
            <v/>
          </cell>
          <cell r="BY887" t="str">
            <v>Tek</v>
          </cell>
        </row>
        <row r="888">
          <cell r="BW888" t="str">
            <v>0</v>
          </cell>
          <cell r="BX888" t="str">
            <v/>
          </cell>
          <cell r="BY888" t="str">
            <v>Çift</v>
          </cell>
        </row>
        <row r="889">
          <cell r="BW889" t="str">
            <v>0</v>
          </cell>
          <cell r="BX889" t="str">
            <v/>
          </cell>
          <cell r="BY889" t="str">
            <v>Tek</v>
          </cell>
        </row>
        <row r="890">
          <cell r="BW890" t="str">
            <v>0</v>
          </cell>
          <cell r="BX890" t="str">
            <v/>
          </cell>
          <cell r="BY890" t="str">
            <v>Çift</v>
          </cell>
        </row>
        <row r="891">
          <cell r="BW891" t="str">
            <v>0</v>
          </cell>
          <cell r="BX891" t="str">
            <v/>
          </cell>
          <cell r="BY891" t="str">
            <v>Tek</v>
          </cell>
        </row>
        <row r="892">
          <cell r="BW892" t="str">
            <v>0</v>
          </cell>
          <cell r="BX892" t="str">
            <v/>
          </cell>
          <cell r="BY892" t="str">
            <v>Çift</v>
          </cell>
        </row>
        <row r="893">
          <cell r="BW893" t="str">
            <v>0</v>
          </cell>
          <cell r="BX893" t="str">
            <v/>
          </cell>
          <cell r="BY893" t="str">
            <v>Tek</v>
          </cell>
        </row>
        <row r="894">
          <cell r="BW894" t="str">
            <v>0</v>
          </cell>
          <cell r="BX894" t="str">
            <v/>
          </cell>
          <cell r="BY894" t="str">
            <v>Çift</v>
          </cell>
        </row>
        <row r="895">
          <cell r="BW895" t="str">
            <v>0</v>
          </cell>
          <cell r="BX895" t="str">
            <v/>
          </cell>
          <cell r="BY895" t="str">
            <v>Tek</v>
          </cell>
        </row>
        <row r="896">
          <cell r="BW896" t="str">
            <v>0</v>
          </cell>
          <cell r="BX896" t="str">
            <v/>
          </cell>
          <cell r="BY896" t="str">
            <v>Çift</v>
          </cell>
        </row>
        <row r="897">
          <cell r="BW897" t="str">
            <v>0</v>
          </cell>
          <cell r="BX897" t="str">
            <v/>
          </cell>
          <cell r="BY897" t="str">
            <v>Tek</v>
          </cell>
        </row>
        <row r="898">
          <cell r="BW898" t="str">
            <v>0</v>
          </cell>
          <cell r="BX898" t="str">
            <v/>
          </cell>
          <cell r="BY898" t="str">
            <v>Çift</v>
          </cell>
        </row>
        <row r="899">
          <cell r="BW899" t="str">
            <v>0</v>
          </cell>
          <cell r="BX899" t="str">
            <v/>
          </cell>
          <cell r="BY899" t="str">
            <v>Tek</v>
          </cell>
        </row>
        <row r="900">
          <cell r="BW900" t="str">
            <v>0</v>
          </cell>
          <cell r="BX900" t="str">
            <v/>
          </cell>
          <cell r="BY900" t="str">
            <v>Çift</v>
          </cell>
        </row>
        <row r="901">
          <cell r="BW901" t="str">
            <v>0</v>
          </cell>
          <cell r="BX901" t="str">
            <v/>
          </cell>
          <cell r="BY901" t="str">
            <v>Tek</v>
          </cell>
        </row>
        <row r="902">
          <cell r="BW902" t="str">
            <v>0</v>
          </cell>
          <cell r="BX902" t="str">
            <v/>
          </cell>
          <cell r="BY902" t="str">
            <v>Çift</v>
          </cell>
        </row>
        <row r="903">
          <cell r="BW903" t="str">
            <v>0</v>
          </cell>
          <cell r="BX903" t="str">
            <v/>
          </cell>
          <cell r="BY903" t="str">
            <v>Tek</v>
          </cell>
        </row>
        <row r="904">
          <cell r="BW904" t="str">
            <v>0</v>
          </cell>
          <cell r="BX904" t="str">
            <v/>
          </cell>
          <cell r="BY904" t="str">
            <v>Çift</v>
          </cell>
        </row>
        <row r="905">
          <cell r="BW905" t="str">
            <v>0</v>
          </cell>
          <cell r="BX905" t="str">
            <v/>
          </cell>
          <cell r="BY905" t="str">
            <v>Tek</v>
          </cell>
        </row>
        <row r="906">
          <cell r="BW906" t="str">
            <v>0</v>
          </cell>
          <cell r="BX906" t="str">
            <v/>
          </cell>
          <cell r="BY906" t="str">
            <v>Çift</v>
          </cell>
        </row>
        <row r="907">
          <cell r="BW907" t="str">
            <v>0</v>
          </cell>
          <cell r="BX907" t="str">
            <v/>
          </cell>
          <cell r="BY907" t="str">
            <v>Tek</v>
          </cell>
        </row>
        <row r="908">
          <cell r="BW908" t="str">
            <v>0</v>
          </cell>
          <cell r="BX908" t="str">
            <v/>
          </cell>
          <cell r="BY908" t="str">
            <v>Çift</v>
          </cell>
        </row>
        <row r="909">
          <cell r="BW909" t="str">
            <v>0</v>
          </cell>
          <cell r="BX909" t="str">
            <v/>
          </cell>
          <cell r="BY909" t="str">
            <v>Tek</v>
          </cell>
        </row>
        <row r="910">
          <cell r="BW910" t="str">
            <v>0</v>
          </cell>
          <cell r="BX910" t="str">
            <v/>
          </cell>
          <cell r="BY910" t="str">
            <v>Çift</v>
          </cell>
        </row>
        <row r="911">
          <cell r="BW911" t="str">
            <v>0</v>
          </cell>
          <cell r="BX911" t="str">
            <v/>
          </cell>
          <cell r="BY911" t="str">
            <v>Tek</v>
          </cell>
        </row>
        <row r="912">
          <cell r="BW912" t="str">
            <v>0</v>
          </cell>
          <cell r="BX912" t="str">
            <v/>
          </cell>
          <cell r="BY912" t="str">
            <v>Çift</v>
          </cell>
        </row>
        <row r="913">
          <cell r="BW913" t="str">
            <v>0</v>
          </cell>
          <cell r="BX913" t="str">
            <v/>
          </cell>
          <cell r="BY913" t="str">
            <v>Tek</v>
          </cell>
        </row>
        <row r="914">
          <cell r="BW914" t="str">
            <v>0</v>
          </cell>
          <cell r="BX914" t="str">
            <v/>
          </cell>
          <cell r="BY914" t="str">
            <v>Çift</v>
          </cell>
        </row>
        <row r="915">
          <cell r="BW915" t="str">
            <v>0</v>
          </cell>
          <cell r="BX915" t="str">
            <v/>
          </cell>
          <cell r="BY915" t="str">
            <v>Tek</v>
          </cell>
        </row>
        <row r="916">
          <cell r="BW916" t="str">
            <v>0</v>
          </cell>
          <cell r="BX916" t="str">
            <v/>
          </cell>
          <cell r="BY916" t="str">
            <v>Çift</v>
          </cell>
        </row>
        <row r="917">
          <cell r="BW917" t="str">
            <v>0</v>
          </cell>
          <cell r="BX917" t="str">
            <v/>
          </cell>
          <cell r="BY917" t="str">
            <v>Tek</v>
          </cell>
        </row>
        <row r="918">
          <cell r="BW918" t="str">
            <v>0</v>
          </cell>
          <cell r="BX918" t="str">
            <v/>
          </cell>
          <cell r="BY918" t="str">
            <v>Çift</v>
          </cell>
        </row>
        <row r="919">
          <cell r="BW919" t="str">
            <v>0</v>
          </cell>
          <cell r="BX919" t="str">
            <v/>
          </cell>
          <cell r="BY919" t="str">
            <v>Tek</v>
          </cell>
        </row>
        <row r="920">
          <cell r="BW920" t="str">
            <v>0</v>
          </cell>
          <cell r="BX920" t="str">
            <v/>
          </cell>
          <cell r="BY920" t="str">
            <v>Çift</v>
          </cell>
        </row>
        <row r="921">
          <cell r="BW921" t="str">
            <v>0</v>
          </cell>
          <cell r="BX921" t="str">
            <v/>
          </cell>
          <cell r="BY921" t="str">
            <v>Tek</v>
          </cell>
        </row>
        <row r="922">
          <cell r="BW922" t="str">
            <v>0</v>
          </cell>
          <cell r="BX922" t="str">
            <v/>
          </cell>
          <cell r="BY922" t="str">
            <v>Çift</v>
          </cell>
        </row>
        <row r="923">
          <cell r="BW923" t="str">
            <v>0</v>
          </cell>
          <cell r="BX923" t="str">
            <v/>
          </cell>
          <cell r="BY923" t="str">
            <v>Tek</v>
          </cell>
        </row>
        <row r="924">
          <cell r="BW924" t="str">
            <v>0</v>
          </cell>
          <cell r="BX924" t="str">
            <v/>
          </cell>
          <cell r="BY924" t="str">
            <v>Çift</v>
          </cell>
        </row>
        <row r="925">
          <cell r="BW925" t="str">
            <v>0</v>
          </cell>
          <cell r="BX925" t="str">
            <v/>
          </cell>
          <cell r="BY925" t="str">
            <v>Tek</v>
          </cell>
        </row>
        <row r="926">
          <cell r="BW926" t="str">
            <v>0</v>
          </cell>
          <cell r="BX926" t="str">
            <v/>
          </cell>
          <cell r="BY926" t="str">
            <v>Çift</v>
          </cell>
        </row>
        <row r="927">
          <cell r="BW927" t="str">
            <v>0</v>
          </cell>
          <cell r="BX927" t="str">
            <v/>
          </cell>
          <cell r="BY927" t="str">
            <v>Tek</v>
          </cell>
        </row>
        <row r="928">
          <cell r="BW928" t="str">
            <v>0</v>
          </cell>
          <cell r="BX928" t="str">
            <v/>
          </cell>
          <cell r="BY928" t="str">
            <v>Çift</v>
          </cell>
        </row>
        <row r="929">
          <cell r="BW929" t="str">
            <v>0</v>
          </cell>
          <cell r="BX929" t="str">
            <v/>
          </cell>
          <cell r="BY929" t="str">
            <v>Tek</v>
          </cell>
        </row>
        <row r="930">
          <cell r="BW930" t="str">
            <v>0</v>
          </cell>
          <cell r="BX930" t="str">
            <v/>
          </cell>
          <cell r="BY930" t="str">
            <v>Çift</v>
          </cell>
        </row>
        <row r="931">
          <cell r="BW931" t="str">
            <v>0</v>
          </cell>
          <cell r="BX931" t="str">
            <v/>
          </cell>
          <cell r="BY931" t="str">
            <v>Tek</v>
          </cell>
        </row>
        <row r="932">
          <cell r="BW932" t="str">
            <v>0</v>
          </cell>
          <cell r="BX932" t="str">
            <v/>
          </cell>
          <cell r="BY932" t="str">
            <v>Çift</v>
          </cell>
        </row>
        <row r="933">
          <cell r="BW933" t="str">
            <v>0</v>
          </cell>
          <cell r="BX933" t="str">
            <v/>
          </cell>
          <cell r="BY933" t="str">
            <v>Tek</v>
          </cell>
        </row>
        <row r="934">
          <cell r="BW934" t="str">
            <v>0</v>
          </cell>
          <cell r="BX934" t="str">
            <v/>
          </cell>
          <cell r="BY934" t="str">
            <v>Çift</v>
          </cell>
        </row>
        <row r="935">
          <cell r="BW935" t="str">
            <v>0</v>
          </cell>
          <cell r="BX935" t="str">
            <v/>
          </cell>
          <cell r="BY935" t="str">
            <v>Tek</v>
          </cell>
        </row>
        <row r="936">
          <cell r="BW936" t="str">
            <v>0</v>
          </cell>
          <cell r="BX936" t="str">
            <v/>
          </cell>
          <cell r="BY936" t="str">
            <v>Çift</v>
          </cell>
        </row>
        <row r="937">
          <cell r="BW937" t="str">
            <v>0</v>
          </cell>
          <cell r="BX937" t="str">
            <v/>
          </cell>
          <cell r="BY937" t="str">
            <v>Tek</v>
          </cell>
        </row>
        <row r="938">
          <cell r="BW938" t="str">
            <v>0</v>
          </cell>
          <cell r="BX938" t="str">
            <v/>
          </cell>
          <cell r="BY938" t="str">
            <v>Çift</v>
          </cell>
        </row>
        <row r="939">
          <cell r="BW939" t="str">
            <v>0</v>
          </cell>
          <cell r="BX939" t="str">
            <v/>
          </cell>
          <cell r="BY939" t="str">
            <v>Tek</v>
          </cell>
        </row>
        <row r="940">
          <cell r="BW940" t="str">
            <v>0</v>
          </cell>
          <cell r="BX940" t="str">
            <v/>
          </cell>
          <cell r="BY940" t="str">
            <v>Çift</v>
          </cell>
        </row>
        <row r="941">
          <cell r="BW941" t="str">
            <v>0</v>
          </cell>
          <cell r="BX941" t="str">
            <v/>
          </cell>
          <cell r="BY941" t="str">
            <v>Tek</v>
          </cell>
        </row>
        <row r="942">
          <cell r="BW942" t="str">
            <v>0</v>
          </cell>
          <cell r="BX942" t="str">
            <v/>
          </cell>
          <cell r="BY942" t="str">
            <v>Çift</v>
          </cell>
        </row>
        <row r="943">
          <cell r="BW943" t="str">
            <v>0</v>
          </cell>
          <cell r="BX943" t="str">
            <v/>
          </cell>
          <cell r="BY943" t="str">
            <v>Tek</v>
          </cell>
        </row>
        <row r="944">
          <cell r="BW944" t="str">
            <v>0</v>
          </cell>
          <cell r="BX944" t="str">
            <v/>
          </cell>
          <cell r="BY944" t="str">
            <v>Çift</v>
          </cell>
        </row>
        <row r="945">
          <cell r="BW945" t="str">
            <v>0</v>
          </cell>
          <cell r="BX945" t="str">
            <v/>
          </cell>
          <cell r="BY945" t="str">
            <v>Tek</v>
          </cell>
        </row>
        <row r="946">
          <cell r="BW946" t="str">
            <v>0</v>
          </cell>
          <cell r="BX946" t="str">
            <v/>
          </cell>
          <cell r="BY946" t="str">
            <v>Çift</v>
          </cell>
        </row>
        <row r="947">
          <cell r="BW947" t="str">
            <v>0</v>
          </cell>
          <cell r="BX947" t="str">
            <v/>
          </cell>
          <cell r="BY947" t="str">
            <v>Tek</v>
          </cell>
        </row>
        <row r="948">
          <cell r="BW948" t="str">
            <v>0</v>
          </cell>
          <cell r="BX948" t="str">
            <v/>
          </cell>
          <cell r="BY948" t="str">
            <v>Çift</v>
          </cell>
        </row>
        <row r="949">
          <cell r="BW949" t="str">
            <v>0</v>
          </cell>
          <cell r="BX949" t="str">
            <v/>
          </cell>
          <cell r="BY949" t="str">
            <v>Tek</v>
          </cell>
        </row>
        <row r="950">
          <cell r="BW950" t="str">
            <v>0</v>
          </cell>
          <cell r="BX950" t="str">
            <v/>
          </cell>
          <cell r="BY950" t="str">
            <v>Çift</v>
          </cell>
        </row>
        <row r="951">
          <cell r="BW951" t="str">
            <v>0</v>
          </cell>
          <cell r="BX951" t="str">
            <v/>
          </cell>
          <cell r="BY951" t="str">
            <v>Tek</v>
          </cell>
        </row>
        <row r="952">
          <cell r="BW952" t="str">
            <v>0</v>
          </cell>
          <cell r="BX952" t="str">
            <v/>
          </cell>
          <cell r="BY952" t="str">
            <v>Çift</v>
          </cell>
        </row>
        <row r="953">
          <cell r="BW953" t="str">
            <v>0</v>
          </cell>
          <cell r="BX953" t="str">
            <v/>
          </cell>
          <cell r="BY953" t="str">
            <v>Tek</v>
          </cell>
        </row>
        <row r="954">
          <cell r="BW954" t="str">
            <v>0</v>
          </cell>
          <cell r="BX954" t="str">
            <v/>
          </cell>
          <cell r="BY954" t="str">
            <v>Çift</v>
          </cell>
        </row>
        <row r="955">
          <cell r="BW955" t="str">
            <v>0</v>
          </cell>
          <cell r="BX955" t="str">
            <v/>
          </cell>
          <cell r="BY955" t="str">
            <v>Tek</v>
          </cell>
        </row>
        <row r="956">
          <cell r="BW956" t="str">
            <v>0</v>
          </cell>
          <cell r="BX956" t="str">
            <v/>
          </cell>
          <cell r="BY956" t="str">
            <v>Çift</v>
          </cell>
        </row>
        <row r="957">
          <cell r="BW957" t="str">
            <v>0</v>
          </cell>
          <cell r="BX957" t="str">
            <v/>
          </cell>
          <cell r="BY957" t="str">
            <v>Tek</v>
          </cell>
        </row>
        <row r="958">
          <cell r="BW958" t="str">
            <v>0</v>
          </cell>
          <cell r="BX958" t="str">
            <v/>
          </cell>
          <cell r="BY958" t="str">
            <v>Çift</v>
          </cell>
        </row>
        <row r="959">
          <cell r="BW959" t="str">
            <v>0</v>
          </cell>
          <cell r="BX959" t="str">
            <v/>
          </cell>
          <cell r="BY959" t="str">
            <v>Tek</v>
          </cell>
        </row>
        <row r="960">
          <cell r="BW960" t="str">
            <v>0</v>
          </cell>
          <cell r="BX960" t="str">
            <v/>
          </cell>
          <cell r="BY960" t="str">
            <v>Çift</v>
          </cell>
        </row>
        <row r="961">
          <cell r="BW961" t="str">
            <v>0</v>
          </cell>
          <cell r="BX961" t="str">
            <v/>
          </cell>
          <cell r="BY961" t="str">
            <v>Tek</v>
          </cell>
        </row>
        <row r="962">
          <cell r="BW962" t="str">
            <v>0</v>
          </cell>
          <cell r="BX962" t="str">
            <v/>
          </cell>
          <cell r="BY962" t="str">
            <v>Çift</v>
          </cell>
        </row>
        <row r="963">
          <cell r="BW963" t="str">
            <v>0</v>
          </cell>
          <cell r="BX963" t="str">
            <v/>
          </cell>
          <cell r="BY963" t="str">
            <v>Tek</v>
          </cell>
        </row>
        <row r="964">
          <cell r="BW964" t="str">
            <v>0</v>
          </cell>
          <cell r="BX964" t="str">
            <v/>
          </cell>
          <cell r="BY964" t="str">
            <v>Çift</v>
          </cell>
        </row>
        <row r="965">
          <cell r="BW965" t="str">
            <v>0</v>
          </cell>
          <cell r="BX965" t="str">
            <v/>
          </cell>
          <cell r="BY965" t="str">
            <v>Tek</v>
          </cell>
        </row>
        <row r="966">
          <cell r="BW966" t="str">
            <v>0</v>
          </cell>
          <cell r="BX966" t="str">
            <v/>
          </cell>
          <cell r="BY966" t="str">
            <v>Çift</v>
          </cell>
        </row>
        <row r="967">
          <cell r="BW967" t="str">
            <v>0</v>
          </cell>
          <cell r="BX967" t="str">
            <v/>
          </cell>
          <cell r="BY967" t="str">
            <v>Tek</v>
          </cell>
        </row>
        <row r="968">
          <cell r="BW968" t="str">
            <v>0</v>
          </cell>
          <cell r="BX968" t="str">
            <v/>
          </cell>
          <cell r="BY968" t="str">
            <v>Çift</v>
          </cell>
        </row>
        <row r="969">
          <cell r="BW969" t="str">
            <v>0</v>
          </cell>
          <cell r="BX969" t="str">
            <v/>
          </cell>
          <cell r="BY969" t="str">
            <v>Tek</v>
          </cell>
        </row>
        <row r="970">
          <cell r="BW970" t="str">
            <v>0</v>
          </cell>
          <cell r="BX970" t="str">
            <v/>
          </cell>
          <cell r="BY970" t="str">
            <v>Çift</v>
          </cell>
        </row>
        <row r="971">
          <cell r="BW971" t="str">
            <v>0</v>
          </cell>
          <cell r="BX971" t="str">
            <v/>
          </cell>
          <cell r="BY971" t="str">
            <v>Tek</v>
          </cell>
        </row>
        <row r="972">
          <cell r="BW972" t="str">
            <v>0</v>
          </cell>
          <cell r="BX972" t="str">
            <v/>
          </cell>
          <cell r="BY972" t="str">
            <v>Çift</v>
          </cell>
        </row>
        <row r="973">
          <cell r="BW973" t="str">
            <v>0</v>
          </cell>
          <cell r="BX973" t="str">
            <v/>
          </cell>
          <cell r="BY973" t="str">
            <v>Tek</v>
          </cell>
        </row>
        <row r="974">
          <cell r="BW974" t="str">
            <v>0</v>
          </cell>
          <cell r="BX974" t="str">
            <v/>
          </cell>
          <cell r="BY974" t="str">
            <v>Çift</v>
          </cell>
        </row>
        <row r="975">
          <cell r="BW975" t="str">
            <v>0</v>
          </cell>
          <cell r="BX975" t="str">
            <v/>
          </cell>
          <cell r="BY975" t="str">
            <v>Tek</v>
          </cell>
        </row>
        <row r="976">
          <cell r="BW976" t="str">
            <v>0</v>
          </cell>
          <cell r="BX976" t="str">
            <v/>
          </cell>
          <cell r="BY976" t="str">
            <v>Çift</v>
          </cell>
        </row>
        <row r="977">
          <cell r="BW977" t="str">
            <v>0</v>
          </cell>
          <cell r="BX977" t="str">
            <v/>
          </cell>
          <cell r="BY977" t="str">
            <v>Tek</v>
          </cell>
        </row>
        <row r="978">
          <cell r="BW978" t="str">
            <v>0</v>
          </cell>
          <cell r="BX978" t="str">
            <v/>
          </cell>
          <cell r="BY978" t="str">
            <v>Çift</v>
          </cell>
        </row>
        <row r="979">
          <cell r="BW979" t="str">
            <v>0</v>
          </cell>
          <cell r="BX979" t="str">
            <v/>
          </cell>
          <cell r="BY979" t="str">
            <v>Tek</v>
          </cell>
        </row>
        <row r="980">
          <cell r="BW980" t="str">
            <v>0</v>
          </cell>
          <cell r="BX980" t="str">
            <v/>
          </cell>
          <cell r="BY980" t="str">
            <v>Çift</v>
          </cell>
        </row>
        <row r="981">
          <cell r="BW981" t="str">
            <v>0</v>
          </cell>
          <cell r="BX981" t="str">
            <v/>
          </cell>
          <cell r="BY981" t="str">
            <v>Tek</v>
          </cell>
        </row>
        <row r="982">
          <cell r="BW982" t="str">
            <v>0</v>
          </cell>
          <cell r="BX982" t="str">
            <v/>
          </cell>
          <cell r="BY982" t="str">
            <v>Çift</v>
          </cell>
        </row>
        <row r="983">
          <cell r="BW983" t="str">
            <v>0</v>
          </cell>
          <cell r="BX983" t="str">
            <v/>
          </cell>
          <cell r="BY983" t="str">
            <v>Tek</v>
          </cell>
        </row>
        <row r="984">
          <cell r="BW984" t="str">
            <v>0</v>
          </cell>
          <cell r="BX984" t="str">
            <v/>
          </cell>
          <cell r="BY984" t="str">
            <v>Çift</v>
          </cell>
        </row>
        <row r="985">
          <cell r="BW985" t="str">
            <v>0</v>
          </cell>
          <cell r="BX985" t="str">
            <v/>
          </cell>
          <cell r="BY985" t="str">
            <v>Tek</v>
          </cell>
        </row>
        <row r="986">
          <cell r="BW986" t="str">
            <v>0</v>
          </cell>
          <cell r="BX986" t="str">
            <v/>
          </cell>
          <cell r="BY986" t="str">
            <v>Çift</v>
          </cell>
        </row>
        <row r="987">
          <cell r="BW987" t="str">
            <v>0</v>
          </cell>
          <cell r="BX987" t="str">
            <v/>
          </cell>
          <cell r="BY987" t="str">
            <v>Tek</v>
          </cell>
        </row>
        <row r="988">
          <cell r="BW988" t="str">
            <v>0</v>
          </cell>
          <cell r="BX988" t="str">
            <v/>
          </cell>
          <cell r="BY988" t="str">
            <v>Çift</v>
          </cell>
        </row>
        <row r="989">
          <cell r="BW989" t="str">
            <v>0</v>
          </cell>
          <cell r="BX989" t="str">
            <v/>
          </cell>
          <cell r="BY989" t="str">
            <v>Tek</v>
          </cell>
        </row>
        <row r="990">
          <cell r="BW990" t="str">
            <v>0</v>
          </cell>
          <cell r="BX990" t="str">
            <v/>
          </cell>
          <cell r="BY990" t="str">
            <v>Çift</v>
          </cell>
        </row>
        <row r="991">
          <cell r="BW991" t="str">
            <v>0</v>
          </cell>
          <cell r="BX991" t="str">
            <v/>
          </cell>
          <cell r="BY991" t="str">
            <v>Tek</v>
          </cell>
        </row>
        <row r="992">
          <cell r="BW992" t="str">
            <v>0</v>
          </cell>
          <cell r="BX992" t="str">
            <v/>
          </cell>
          <cell r="BY992" t="str">
            <v>Çift</v>
          </cell>
        </row>
        <row r="993">
          <cell r="BW993" t="str">
            <v>0</v>
          </cell>
          <cell r="BX993" t="str">
            <v/>
          </cell>
          <cell r="BY993" t="str">
            <v>Tek</v>
          </cell>
        </row>
        <row r="994">
          <cell r="BW994" t="str">
            <v>0</v>
          </cell>
          <cell r="BX994" t="str">
            <v/>
          </cell>
          <cell r="BY994" t="str">
            <v>Çift</v>
          </cell>
        </row>
        <row r="995">
          <cell r="BW995" t="str">
            <v>0</v>
          </cell>
          <cell r="BX995" t="str">
            <v/>
          </cell>
          <cell r="BY995" t="str">
            <v>Tek</v>
          </cell>
        </row>
        <row r="996">
          <cell r="BW996" t="str">
            <v>0</v>
          </cell>
          <cell r="BX996" t="str">
            <v/>
          </cell>
          <cell r="BY996" t="str">
            <v>Çift</v>
          </cell>
        </row>
        <row r="997">
          <cell r="BW997" t="str">
            <v>0</v>
          </cell>
          <cell r="BX997" t="str">
            <v/>
          </cell>
          <cell r="BY997" t="str">
            <v>Tek</v>
          </cell>
        </row>
        <row r="998">
          <cell r="BW998" t="str">
            <v>0</v>
          </cell>
          <cell r="BX998" t="str">
            <v/>
          </cell>
          <cell r="BY998" t="str">
            <v>Çift</v>
          </cell>
        </row>
        <row r="999">
          <cell r="BW999" t="str">
            <v>0</v>
          </cell>
          <cell r="BX999" t="str">
            <v/>
          </cell>
          <cell r="BY999" t="str">
            <v>Tek</v>
          </cell>
        </row>
        <row r="1000">
          <cell r="BW1000" t="str">
            <v>0</v>
          </cell>
          <cell r="BX1000" t="str">
            <v/>
          </cell>
          <cell r="BY1000" t="str">
            <v>Çift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A2">
            <v>100104141619</v>
          </cell>
        </row>
        <row r="3">
          <cell r="CA3">
            <v>100104141620</v>
          </cell>
        </row>
        <row r="4">
          <cell r="CA4">
            <v>165544</v>
          </cell>
        </row>
        <row r="5">
          <cell r="CA5">
            <v>167440</v>
          </cell>
        </row>
        <row r="6">
          <cell r="CA6">
            <v>194975</v>
          </cell>
        </row>
        <row r="7">
          <cell r="CA7">
            <v>3743112010</v>
          </cell>
        </row>
      </sheetData>
      <sheetData sheetId="9">
        <row r="2">
          <cell r="CB2" t="str">
            <v>Gerede Fen Lisesi Müdürlüğü</v>
          </cell>
          <cell r="CG2" t="str">
            <v>GEREDE KAYMAKAMLIĞI</v>
          </cell>
          <cell r="CO2" t="str">
            <v>İlçe Milli Eğitim Müdürlüğü</v>
          </cell>
        </row>
        <row r="3">
          <cell r="CB3" t="str">
            <v>Mustafa SAĞLAM</v>
          </cell>
          <cell r="CG3" t="str">
            <v>Okul Müdürü</v>
          </cell>
        </row>
        <row r="4">
          <cell r="CB4" t="str">
            <v>Hatice KARATEPE</v>
          </cell>
          <cell r="CG4" t="str">
            <v>Müdür Yardımcısı</v>
          </cell>
        </row>
      </sheetData>
      <sheetData sheetId="10"/>
      <sheetData sheetId="11"/>
      <sheetData sheetId="12"/>
      <sheetData sheetId="13">
        <row r="1">
          <cell r="A1">
            <v>2018</v>
          </cell>
          <cell r="B1" t="str">
            <v>Ocak</v>
          </cell>
          <cell r="D1" t="str">
            <v>Doğalgaz</v>
          </cell>
        </row>
        <row r="2">
          <cell r="A2">
            <v>2019</v>
          </cell>
          <cell r="B2" t="str">
            <v>Şubat</v>
          </cell>
          <cell r="D2" t="str">
            <v>Elektrik</v>
          </cell>
        </row>
        <row r="3">
          <cell r="A3">
            <v>2020</v>
          </cell>
          <cell r="B3" t="str">
            <v>Mart</v>
          </cell>
          <cell r="D3" t="str">
            <v>Telefon</v>
          </cell>
        </row>
        <row r="4">
          <cell r="A4">
            <v>2021</v>
          </cell>
          <cell r="B4" t="str">
            <v>Nisan</v>
          </cell>
          <cell r="D4" t="str">
            <v>Su</v>
          </cell>
        </row>
        <row r="5">
          <cell r="A5">
            <v>2022</v>
          </cell>
          <cell r="B5" t="str">
            <v>Mayıs</v>
          </cell>
        </row>
        <row r="6">
          <cell r="A6">
            <v>2023</v>
          </cell>
          <cell r="B6" t="str">
            <v>Haziran</v>
          </cell>
        </row>
        <row r="7">
          <cell r="A7">
            <v>2024</v>
          </cell>
          <cell r="B7" t="str">
            <v>Temmuz</v>
          </cell>
        </row>
        <row r="8">
          <cell r="A8">
            <v>2025</v>
          </cell>
          <cell r="B8" t="str">
            <v>Ağustos</v>
          </cell>
        </row>
        <row r="9">
          <cell r="A9">
            <v>2026</v>
          </cell>
          <cell r="B9" t="str">
            <v>Eylül</v>
          </cell>
        </row>
        <row r="10">
          <cell r="A10">
            <v>2027</v>
          </cell>
          <cell r="B10" t="str">
            <v>Ekim</v>
          </cell>
        </row>
        <row r="11">
          <cell r="A11">
            <v>2028</v>
          </cell>
          <cell r="B11" t="str">
            <v>Kasım</v>
          </cell>
        </row>
        <row r="12">
          <cell r="A12">
            <v>2029</v>
          </cell>
          <cell r="B12" t="str">
            <v>Aralık</v>
          </cell>
        </row>
        <row r="13">
          <cell r="A13">
            <v>2030</v>
          </cell>
        </row>
      </sheetData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İLAÇKESBLGFORM "/>
      <sheetName val="TEKNİKBİLGİ"/>
      <sheetName val="BORCLANMA"/>
      <sheetName val="BORDROFARK"/>
      <sheetName val="LİSTEFRKOKUL"/>
      <sheetName val="TMVE (2)"/>
      <sheetName val="NAKİTFARK"/>
      <sheetName val="GÖSFARK"/>
      <sheetName val="LİSTEOKUL"/>
      <sheetName val="SENLİSTESİ"/>
      <sheetName val="64MD"/>
      <sheetName val="KIDEM LİSTESİ"/>
      <sheetName val="PERSONEL BİLDİRİMİ (2)"/>
      <sheetName val="TETCET"/>
      <sheetName val="PERSONEL BİLDİRİMİ"/>
      <sheetName val="ÖGİBORDRO"/>
      <sheetName val="YDİL"/>
      <sheetName val="AVCOCUK"/>
      <sheetName val="MAAŞBİLGİCETVELİ"/>
      <sheetName val="SENMÜRACAAT"/>
      <sheetName val="LOJMANLİST"/>
      <sheetName val="PNAKİLBİLDİRİMİ"/>
      <sheetName val="Sayfa1"/>
      <sheetName val="ÖGİBORDRO2"/>
      <sheetName val="MUTEMET"/>
      <sheetName val="TYAZIMEM"/>
      <sheetName val="YAZISEN"/>
      <sheetName val="YAZIDRC"/>
      <sheetName val="YAZI64"/>
      <sheetName val="YAZIKDM"/>
      <sheetName val="BORDROEÖHÖ"/>
      <sheetName val="NAKİTEÖHÖ"/>
      <sheetName val="LİSTEÖHÖ"/>
      <sheetName val="TETCETEÖHÖ"/>
      <sheetName val="MBİLGİCET"/>
      <sheetName val="SAKAT"/>
      <sheetName val="MENÜMAAŞ"/>
      <sheetName val="BORDROY"/>
      <sheetName val="MATRAH"/>
      <sheetName val="MATRAHÖZELGİDER"/>
      <sheetName val="BORDROAÖ"/>
      <sheetName val="TMVE"/>
      <sheetName val="BİLGİLER"/>
      <sheetName val="NAKİT"/>
      <sheetName val="NAKİTARALIK"/>
      <sheetName val="MAHSUP"/>
      <sheetName val="NAKİTAÖ"/>
      <sheetName val="TAZMİNATLAR"/>
      <sheetName val="23DENEME"/>
      <sheetName val="TABLO1"/>
      <sheetName val="KAYIT"/>
      <sheetName val="İLKSAN"/>
      <sheetName val="İLACKES"/>
      <sheetName val="LİSTESENDİKA"/>
      <sheetName val="İLAÇLİSTESİ"/>
      <sheetName val="YÖDEME"/>
      <sheetName val="İLAC"/>
      <sheetName val="KADEMETERFİFORMU"/>
      <sheetName val="64TERFİFORMU"/>
      <sheetName val="DERECETERFİFORMU"/>
      <sheetName val="TERFİİLİSTESİ"/>
      <sheetName val="NAKİTEKLERİ"/>
      <sheetName val="GÖSTERGELER"/>
      <sheetName val="EKGÖS"/>
      <sheetName val="NAKİTFERDİ"/>
      <sheetName val="FERDİBORDRO"/>
      <sheetName val="PROGRAMKULLANI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kderscizelge"/>
      <sheetName val="bordro"/>
      <sheetName val="bordroeskiyedek"/>
      <sheetName val="agi"/>
      <sheetName val="bankalistesi"/>
      <sheetName val="talimat"/>
      <sheetName val="takvim"/>
      <sheetName val="parametreler"/>
      <sheetName val="acilirlisteler"/>
      <sheetName val="MYSverileri"/>
      <sheetName val="personelbilgileri"/>
      <sheetName val="oeb"/>
      <sheetName val="sgkhizmetlistesi"/>
      <sheetName val="sgktahakkukfisi"/>
      <sheetName val="anamenu"/>
      <sheetName val="teslimtesellum"/>
      <sheetName val="gorevyeribelgesi"/>
      <sheetName val="Ücretli Öğretmen Ödeme Programı"/>
    </sheetNames>
    <sheetDataSet>
      <sheetData sheetId="0">
        <row r="6">
          <cell r="AG6">
            <v>44805</v>
          </cell>
        </row>
      </sheetData>
      <sheetData sheetId="1">
        <row r="30">
          <cell r="CQ30">
            <v>10636.71</v>
          </cell>
        </row>
      </sheetData>
      <sheetData sheetId="2"/>
      <sheetData sheetId="3"/>
      <sheetData sheetId="4"/>
      <sheetData sheetId="5"/>
      <sheetData sheetId="6">
        <row r="2">
          <cell r="A2" t="str">
            <v>Ocak</v>
          </cell>
        </row>
      </sheetData>
      <sheetData sheetId="7"/>
      <sheetData sheetId="8">
        <row r="2">
          <cell r="A2">
            <v>2021</v>
          </cell>
        </row>
      </sheetData>
      <sheetData sheetId="9"/>
      <sheetData sheetId="10">
        <row r="3">
          <cell r="CB3" t="str">
            <v>Sema MELEMEN</v>
          </cell>
        </row>
        <row r="4">
          <cell r="CB4" t="str">
            <v>İrem SOYKUVVET</v>
          </cell>
        </row>
        <row r="5">
          <cell r="CB5" t="str">
            <v>Sinem ERKAN</v>
          </cell>
        </row>
        <row r="6">
          <cell r="CB6">
            <v>0</v>
          </cell>
        </row>
        <row r="7">
          <cell r="CB7">
            <v>0</v>
          </cell>
        </row>
        <row r="8">
          <cell r="CB8">
            <v>0</v>
          </cell>
        </row>
        <row r="9">
          <cell r="CB9">
            <v>0</v>
          </cell>
        </row>
        <row r="10">
          <cell r="CB10">
            <v>0</v>
          </cell>
        </row>
        <row r="11">
          <cell r="CB11">
            <v>0</v>
          </cell>
        </row>
        <row r="12">
          <cell r="CB12">
            <v>0</v>
          </cell>
        </row>
        <row r="13">
          <cell r="CB13">
            <v>0</v>
          </cell>
        </row>
        <row r="14">
          <cell r="CB14">
            <v>0</v>
          </cell>
        </row>
        <row r="15">
          <cell r="CB15">
            <v>0</v>
          </cell>
        </row>
        <row r="16">
          <cell r="CB16">
            <v>0</v>
          </cell>
        </row>
        <row r="17">
          <cell r="CB17">
            <v>0</v>
          </cell>
        </row>
        <row r="18">
          <cell r="CB18">
            <v>0</v>
          </cell>
        </row>
        <row r="19">
          <cell r="CB19">
            <v>0</v>
          </cell>
        </row>
        <row r="20">
          <cell r="CB20">
            <v>0</v>
          </cell>
        </row>
        <row r="21">
          <cell r="CB21">
            <v>0</v>
          </cell>
        </row>
        <row r="22">
          <cell r="CB22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E4AB20-85C4-4D14-8AD3-A9029267530F}" name="Tablo3" displayName="Tablo3" ref="A11:A83" totalsRowShown="0">
  <autoFilter ref="A11:A83" xr:uid="{00000000-0009-0000-0100-000003000000}">
    <filterColumn colId="0">
      <filters>
        <filter val="2024"/>
      </filters>
    </filterColumn>
  </autoFilter>
  <tableColumns count="1">
    <tableColumn id="1" xr3:uid="{7A00E2F2-49D9-4E4F-91DC-D4F9C597B322}" name="Yıl">
      <calculatedColumnFormula>CA12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6E33A7-6301-4A16-B298-FDC65FF1E0A4}" name="Tablo36" displayName="Tablo36" ref="A11:A23" totalsRowShown="0">
  <autoFilter ref="A11:A23" xr:uid="{00000000-0009-0000-0100-000005000000}"/>
  <tableColumns count="1">
    <tableColumn id="1" xr3:uid="{F5DFFC7E-A95F-46AD-B16F-4302375310CA}" name="Yıl">
      <calculatedColumnFormula>CA12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4CC67-28FA-4096-92ED-F306EC3D0B69}">
  <dimension ref="A1:DD84"/>
  <sheetViews>
    <sheetView topLeftCell="CA13" workbookViewId="0">
      <selection activeCell="CZ84" sqref="CZ84:DD84"/>
    </sheetView>
  </sheetViews>
  <sheetFormatPr defaultColWidth="2.88671875" defaultRowHeight="14.4" x14ac:dyDescent="0.3"/>
  <cols>
    <col min="1" max="1" width="5.44140625" hidden="1" customWidth="1"/>
    <col min="2" max="74" width="2.88671875" hidden="1" customWidth="1"/>
    <col min="75" max="75" width="7" hidden="1" customWidth="1"/>
    <col min="76" max="76" width="5" hidden="1" customWidth="1"/>
    <col min="77" max="78" width="2.88671875" hidden="1" customWidth="1"/>
  </cols>
  <sheetData>
    <row r="1" spans="1:108" x14ac:dyDescent="0.3">
      <c r="CA1" s="1" t="s">
        <v>0</v>
      </c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</row>
    <row r="2" spans="1:108" x14ac:dyDescent="0.3">
      <c r="CA2" s="1" t="s">
        <v>20</v>
      </c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</row>
    <row r="3" spans="1:108" x14ac:dyDescent="0.3">
      <c r="CA3" s="1" t="s">
        <v>21</v>
      </c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</row>
    <row r="4" spans="1:108" x14ac:dyDescent="0.3">
      <c r="CA4" s="1" t="s">
        <v>22</v>
      </c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</row>
    <row r="6" spans="1:108" x14ac:dyDescent="0.3">
      <c r="CW6" s="1" t="s">
        <v>2</v>
      </c>
      <c r="CX6" s="1"/>
      <c r="CY6" s="1"/>
      <c r="CZ6" t="s">
        <v>3</v>
      </c>
      <c r="DA6" s="1" t="s">
        <v>23</v>
      </c>
      <c r="DB6" s="1"/>
      <c r="DC6" s="1"/>
      <c r="DD6" s="1"/>
    </row>
    <row r="7" spans="1:108" x14ac:dyDescent="0.3">
      <c r="CA7" s="2" t="s">
        <v>4</v>
      </c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</row>
    <row r="9" spans="1:108" x14ac:dyDescent="0.3">
      <c r="CA9" s="3" t="s">
        <v>5</v>
      </c>
      <c r="CB9" s="3"/>
      <c r="CC9" s="3"/>
      <c r="CD9" s="3"/>
      <c r="CE9" t="s">
        <v>3</v>
      </c>
      <c r="CF9" s="3" t="s">
        <v>24</v>
      </c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</row>
    <row r="11" spans="1:108" x14ac:dyDescent="0.3">
      <c r="A11" t="s">
        <v>1</v>
      </c>
      <c r="BX11" t="s">
        <v>1</v>
      </c>
      <c r="CA11" s="4" t="s">
        <v>1</v>
      </c>
      <c r="CB11" s="4"/>
      <c r="CC11" s="4" t="s">
        <v>6</v>
      </c>
      <c r="CD11" s="4"/>
      <c r="CE11" s="4"/>
      <c r="CF11" s="4" t="s">
        <v>7</v>
      </c>
      <c r="CG11" s="4"/>
      <c r="CH11" s="4"/>
      <c r="CI11" s="4"/>
      <c r="CJ11" s="4"/>
      <c r="CK11" s="4" t="s">
        <v>8</v>
      </c>
      <c r="CL11" s="4"/>
      <c r="CM11" s="4"/>
      <c r="CN11" s="4"/>
      <c r="CO11" s="4" t="s">
        <v>9</v>
      </c>
      <c r="CP11" s="4"/>
      <c r="CQ11" s="4"/>
      <c r="CR11" s="4"/>
      <c r="CS11" s="4"/>
      <c r="CT11" s="4"/>
      <c r="CU11" s="4"/>
      <c r="CV11" s="4" t="s">
        <v>10</v>
      </c>
      <c r="CW11" s="4"/>
      <c r="CX11" s="4"/>
      <c r="CY11" s="4"/>
      <c r="CZ11" s="4" t="s">
        <v>11</v>
      </c>
      <c r="DA11" s="4"/>
      <c r="DB11" s="4"/>
      <c r="DC11" s="4"/>
      <c r="DD11" s="4"/>
    </row>
    <row r="12" spans="1:108" x14ac:dyDescent="0.3">
      <c r="A12">
        <f>CA12</f>
        <v>2024</v>
      </c>
      <c r="BW12" t="e">
        <f>COUNTIF($BX$12:BX12,BX12)&amp;BX12</f>
        <v>#REF!</v>
      </c>
      <c r="BX12" t="e">
        <f>#REF!</f>
        <v>#REF!</v>
      </c>
      <c r="CA12" s="5">
        <v>2024</v>
      </c>
      <c r="CB12" s="5"/>
      <c r="CC12" s="5" t="s">
        <v>15</v>
      </c>
      <c r="CD12" s="5"/>
      <c r="CE12" s="5"/>
      <c r="CF12" s="6">
        <v>165544</v>
      </c>
      <c r="CG12" s="6"/>
      <c r="CH12" s="6"/>
      <c r="CI12" s="6"/>
      <c r="CJ12" s="6"/>
      <c r="CK12" s="5" t="s">
        <v>25</v>
      </c>
      <c r="CL12" s="5"/>
      <c r="CM12" s="5"/>
      <c r="CN12" s="5"/>
      <c r="CO12" s="5" t="s">
        <v>26</v>
      </c>
      <c r="CP12" s="5"/>
      <c r="CQ12" s="5"/>
      <c r="CR12" s="5"/>
      <c r="CS12" s="5"/>
      <c r="CT12" s="5"/>
      <c r="CU12" s="5"/>
      <c r="CV12" s="7">
        <v>6359.56</v>
      </c>
      <c r="CW12" s="7"/>
      <c r="CX12" s="7"/>
      <c r="CY12" s="7"/>
      <c r="CZ12" s="8">
        <v>78981.740000000005</v>
      </c>
      <c r="DA12" s="8"/>
      <c r="DB12" s="8"/>
      <c r="DC12" s="8"/>
      <c r="DD12" s="8"/>
    </row>
    <row r="13" spans="1:108" x14ac:dyDescent="0.3">
      <c r="A13">
        <f t="shared" ref="A13:A76" si="0">CA13</f>
        <v>2024</v>
      </c>
      <c r="BW13" t="e">
        <f>COUNTIF($BX$12:BX13,BX13)&amp;BX13</f>
        <v>#REF!</v>
      </c>
      <c r="BX13" t="e">
        <f>#REF!</f>
        <v>#REF!</v>
      </c>
      <c r="CA13" s="5">
        <v>2024</v>
      </c>
      <c r="CB13" s="5"/>
      <c r="CC13" s="5" t="s">
        <v>15</v>
      </c>
      <c r="CD13" s="5"/>
      <c r="CE13" s="5"/>
      <c r="CF13" s="6">
        <v>167440</v>
      </c>
      <c r="CG13" s="6"/>
      <c r="CH13" s="6"/>
      <c r="CI13" s="6"/>
      <c r="CJ13" s="6"/>
      <c r="CK13" s="5" t="s">
        <v>25</v>
      </c>
      <c r="CL13" s="5"/>
      <c r="CM13" s="5"/>
      <c r="CN13" s="5"/>
      <c r="CO13" s="5" t="s">
        <v>27</v>
      </c>
      <c r="CP13" s="5"/>
      <c r="CQ13" s="5"/>
      <c r="CR13" s="5"/>
      <c r="CS13" s="5"/>
      <c r="CT13" s="5"/>
      <c r="CU13" s="5"/>
      <c r="CV13" s="7">
        <v>7474.54</v>
      </c>
      <c r="CW13" s="7"/>
      <c r="CX13" s="7"/>
      <c r="CY13" s="7"/>
      <c r="CZ13" s="8">
        <v>92804.65</v>
      </c>
      <c r="DA13" s="8"/>
      <c r="DB13" s="8"/>
      <c r="DC13" s="8"/>
      <c r="DD13" s="8"/>
    </row>
    <row r="14" spans="1:108" x14ac:dyDescent="0.3">
      <c r="A14">
        <f t="shared" si="0"/>
        <v>2024</v>
      </c>
      <c r="BW14" t="e">
        <f>COUNTIF($BX$12:BX14,BX14)&amp;BX14</f>
        <v>#REF!</v>
      </c>
      <c r="BX14" t="e">
        <f>#REF!</f>
        <v>#REF!</v>
      </c>
      <c r="CA14" s="5">
        <v>2024</v>
      </c>
      <c r="CB14" s="5"/>
      <c r="CC14" s="5" t="s">
        <v>15</v>
      </c>
      <c r="CD14" s="5"/>
      <c r="CE14" s="5"/>
      <c r="CF14" s="6">
        <v>194975</v>
      </c>
      <c r="CG14" s="6"/>
      <c r="CH14" s="6"/>
      <c r="CI14" s="6"/>
      <c r="CJ14" s="6"/>
      <c r="CK14" s="5" t="s">
        <v>25</v>
      </c>
      <c r="CL14" s="5"/>
      <c r="CM14" s="5"/>
      <c r="CN14" s="5"/>
      <c r="CO14" s="5" t="s">
        <v>28</v>
      </c>
      <c r="CP14" s="5"/>
      <c r="CQ14" s="5"/>
      <c r="CR14" s="5"/>
      <c r="CS14" s="5"/>
      <c r="CT14" s="5"/>
      <c r="CU14" s="5"/>
      <c r="CV14" s="7">
        <v>67.540000000000006</v>
      </c>
      <c r="CW14" s="7"/>
      <c r="CX14" s="7"/>
      <c r="CY14" s="7"/>
      <c r="CZ14" s="8">
        <v>840.49</v>
      </c>
      <c r="DA14" s="8"/>
      <c r="DB14" s="8"/>
      <c r="DC14" s="8"/>
      <c r="DD14" s="8"/>
    </row>
    <row r="15" spans="1:108" x14ac:dyDescent="0.3">
      <c r="A15">
        <f t="shared" si="0"/>
        <v>2024</v>
      </c>
      <c r="BW15" t="e">
        <f>COUNTIF($BX$12:BX15,BX15)&amp;BX15</f>
        <v>#REF!</v>
      </c>
      <c r="BX15" t="e">
        <f>#REF!</f>
        <v>#REF!</v>
      </c>
      <c r="CA15" s="5">
        <v>2024</v>
      </c>
      <c r="CB15" s="5"/>
      <c r="CC15" s="5" t="s">
        <v>15</v>
      </c>
      <c r="CD15" s="5"/>
      <c r="CE15" s="5"/>
      <c r="CF15" s="6">
        <v>100100289007</v>
      </c>
      <c r="CG15" s="6"/>
      <c r="CH15" s="6"/>
      <c r="CI15" s="6"/>
      <c r="CJ15" s="6"/>
      <c r="CK15" s="5" t="s">
        <v>29</v>
      </c>
      <c r="CL15" s="5"/>
      <c r="CM15" s="5"/>
      <c r="CN15" s="5"/>
      <c r="CO15" s="5" t="s">
        <v>30</v>
      </c>
      <c r="CP15" s="5"/>
      <c r="CQ15" s="5"/>
      <c r="CR15" s="5"/>
      <c r="CS15" s="5"/>
      <c r="CT15" s="5"/>
      <c r="CU15" s="5"/>
      <c r="CV15" s="7">
        <v>2800.64</v>
      </c>
      <c r="CW15" s="7"/>
      <c r="CX15" s="7"/>
      <c r="CY15" s="7"/>
      <c r="CZ15" s="8">
        <v>11858.66</v>
      </c>
      <c r="DA15" s="8"/>
      <c r="DB15" s="8"/>
      <c r="DC15" s="8"/>
      <c r="DD15" s="8"/>
    </row>
    <row r="16" spans="1:108" x14ac:dyDescent="0.3">
      <c r="A16">
        <f t="shared" si="0"/>
        <v>2024</v>
      </c>
      <c r="BW16" t="e">
        <f>COUNTIF($BX$12:BX16,BX16)&amp;BX16</f>
        <v>#REF!</v>
      </c>
      <c r="BX16" t="e">
        <f>#REF!</f>
        <v>#REF!</v>
      </c>
      <c r="CA16" s="5">
        <v>2024</v>
      </c>
      <c r="CB16" s="5"/>
      <c r="CC16" s="5" t="s">
        <v>15</v>
      </c>
      <c r="CD16" s="5"/>
      <c r="CE16" s="5"/>
      <c r="CF16" s="6">
        <v>100100289037</v>
      </c>
      <c r="CG16" s="6"/>
      <c r="CH16" s="6"/>
      <c r="CI16" s="6"/>
      <c r="CJ16" s="6"/>
      <c r="CK16" s="5" t="s">
        <v>29</v>
      </c>
      <c r="CL16" s="5"/>
      <c r="CM16" s="5"/>
      <c r="CN16" s="5"/>
      <c r="CO16" s="5" t="s">
        <v>31</v>
      </c>
      <c r="CP16" s="5"/>
      <c r="CQ16" s="5"/>
      <c r="CR16" s="5"/>
      <c r="CS16" s="5"/>
      <c r="CT16" s="5"/>
      <c r="CU16" s="5"/>
      <c r="CV16" s="7">
        <v>3067.28</v>
      </c>
      <c r="CW16" s="7"/>
      <c r="CX16" s="7"/>
      <c r="CY16" s="7"/>
      <c r="CZ16" s="8">
        <v>13089.9</v>
      </c>
      <c r="DA16" s="8"/>
      <c r="DB16" s="8"/>
      <c r="DC16" s="8"/>
      <c r="DD16" s="8"/>
    </row>
    <row r="17" spans="1:108" x14ac:dyDescent="0.3">
      <c r="A17">
        <f t="shared" si="0"/>
        <v>2024</v>
      </c>
      <c r="BW17" t="e">
        <f>COUNTIF($BX$12:BX17,BX17)&amp;BX17</f>
        <v>#REF!</v>
      </c>
      <c r="BX17" t="e">
        <f>#REF!</f>
        <v>#REF!</v>
      </c>
      <c r="CA17" s="5">
        <v>2024</v>
      </c>
      <c r="CB17" s="5"/>
      <c r="CC17" s="5" t="s">
        <v>32</v>
      </c>
      <c r="CD17" s="5"/>
      <c r="CE17" s="5"/>
      <c r="CF17" s="6">
        <v>165544</v>
      </c>
      <c r="CG17" s="6"/>
      <c r="CH17" s="6"/>
      <c r="CI17" s="6"/>
      <c r="CJ17" s="6"/>
      <c r="CK17" s="5" t="s">
        <v>33</v>
      </c>
      <c r="CL17" s="5"/>
      <c r="CM17" s="5"/>
      <c r="CN17" s="5"/>
      <c r="CO17" s="5" t="s">
        <v>34</v>
      </c>
      <c r="CP17" s="5"/>
      <c r="CQ17" s="5"/>
      <c r="CR17" s="5"/>
      <c r="CS17" s="5"/>
      <c r="CT17" s="5"/>
      <c r="CU17" s="5"/>
      <c r="CV17" s="7">
        <v>6975.92</v>
      </c>
      <c r="CW17" s="7"/>
      <c r="CX17" s="7"/>
      <c r="CY17" s="7"/>
      <c r="CZ17" s="8">
        <v>86989.61</v>
      </c>
      <c r="DA17" s="8"/>
      <c r="DB17" s="8"/>
      <c r="DC17" s="8"/>
      <c r="DD17" s="8"/>
    </row>
    <row r="18" spans="1:108" x14ac:dyDescent="0.3">
      <c r="A18">
        <f t="shared" si="0"/>
        <v>2024</v>
      </c>
      <c r="BW18" t="e">
        <f>COUNTIF($BX$12:BX18,BX18)&amp;BX18</f>
        <v>#REF!</v>
      </c>
      <c r="BX18" t="e">
        <f>#REF!</f>
        <v>#REF!</v>
      </c>
      <c r="CA18" s="5">
        <v>2024</v>
      </c>
      <c r="CB18" s="5"/>
      <c r="CC18" s="5" t="s">
        <v>32</v>
      </c>
      <c r="CD18" s="5"/>
      <c r="CE18" s="5"/>
      <c r="CF18" s="6">
        <v>167440</v>
      </c>
      <c r="CG18" s="6"/>
      <c r="CH18" s="6"/>
      <c r="CI18" s="6"/>
      <c r="CJ18" s="6"/>
      <c r="CK18" s="5" t="s">
        <v>33</v>
      </c>
      <c r="CL18" s="5"/>
      <c r="CM18" s="5"/>
      <c r="CN18" s="5"/>
      <c r="CO18" s="5" t="s">
        <v>35</v>
      </c>
      <c r="CP18" s="5"/>
      <c r="CQ18" s="5"/>
      <c r="CR18" s="5"/>
      <c r="CS18" s="5"/>
      <c r="CT18" s="5"/>
      <c r="CU18" s="5"/>
      <c r="CV18" s="7">
        <v>7404.1</v>
      </c>
      <c r="CW18" s="7"/>
      <c r="CX18" s="7"/>
      <c r="CY18" s="7"/>
      <c r="CZ18" s="8">
        <v>92328.93</v>
      </c>
      <c r="DA18" s="8"/>
      <c r="DB18" s="8"/>
      <c r="DC18" s="8"/>
      <c r="DD18" s="8"/>
    </row>
    <row r="19" spans="1:108" x14ac:dyDescent="0.3">
      <c r="A19">
        <f t="shared" si="0"/>
        <v>2024</v>
      </c>
      <c r="BW19" t="e">
        <f>COUNTIF($BX$12:BX19,BX19)&amp;BX19</f>
        <v>#REF!</v>
      </c>
      <c r="BX19" t="e">
        <f>#REF!</f>
        <v>#REF!</v>
      </c>
      <c r="CA19" s="5">
        <v>2024</v>
      </c>
      <c r="CB19" s="5"/>
      <c r="CC19" s="5" t="s">
        <v>32</v>
      </c>
      <c r="CD19" s="5"/>
      <c r="CE19" s="5"/>
      <c r="CF19" s="6">
        <v>194975</v>
      </c>
      <c r="CG19" s="6"/>
      <c r="CH19" s="6"/>
      <c r="CI19" s="6"/>
      <c r="CJ19" s="6"/>
      <c r="CK19" s="5" t="s">
        <v>33</v>
      </c>
      <c r="CL19" s="5"/>
      <c r="CM19" s="5"/>
      <c r="CN19" s="5"/>
      <c r="CO19" s="5" t="s">
        <v>36</v>
      </c>
      <c r="CP19" s="5"/>
      <c r="CQ19" s="5"/>
      <c r="CR19" s="5"/>
      <c r="CS19" s="5"/>
      <c r="CT19" s="5"/>
      <c r="CU19" s="5"/>
      <c r="CV19" s="7">
        <v>148.44999999999999</v>
      </c>
      <c r="CW19" s="7"/>
      <c r="CX19" s="7"/>
      <c r="CY19" s="7"/>
      <c r="CZ19" s="8">
        <v>1851.17</v>
      </c>
      <c r="DA19" s="8"/>
      <c r="DB19" s="8"/>
      <c r="DC19" s="8"/>
      <c r="DD19" s="8"/>
    </row>
    <row r="20" spans="1:108" x14ac:dyDescent="0.3">
      <c r="A20">
        <f t="shared" si="0"/>
        <v>2024</v>
      </c>
      <c r="BW20" t="e">
        <f>COUNTIF($BX$12:BX20,BX20)&amp;BX20</f>
        <v>#REF!</v>
      </c>
      <c r="BX20" t="e">
        <f>#REF!</f>
        <v>#REF!</v>
      </c>
      <c r="CA20" s="5">
        <v>2024</v>
      </c>
      <c r="CB20" s="5"/>
      <c r="CC20" s="5" t="s">
        <v>32</v>
      </c>
      <c r="CD20" s="5"/>
      <c r="CE20" s="5"/>
      <c r="CF20" s="6">
        <v>100100289007</v>
      </c>
      <c r="CG20" s="6"/>
      <c r="CH20" s="6"/>
      <c r="CI20" s="6"/>
      <c r="CJ20" s="6"/>
      <c r="CK20" s="5" t="s">
        <v>37</v>
      </c>
      <c r="CL20" s="5"/>
      <c r="CM20" s="5"/>
      <c r="CN20" s="5"/>
      <c r="CO20" s="5" t="s">
        <v>38</v>
      </c>
      <c r="CP20" s="5"/>
      <c r="CQ20" s="5"/>
      <c r="CR20" s="5"/>
      <c r="CS20" s="5"/>
      <c r="CT20" s="5"/>
      <c r="CU20" s="5"/>
      <c r="CV20" s="7">
        <v>2934.56</v>
      </c>
      <c r="CW20" s="7"/>
      <c r="CX20" s="7"/>
      <c r="CY20" s="7"/>
      <c r="CZ20" s="8">
        <v>12663.61</v>
      </c>
      <c r="DA20" s="8"/>
      <c r="DB20" s="8"/>
      <c r="DC20" s="8"/>
      <c r="DD20" s="8"/>
    </row>
    <row r="21" spans="1:108" x14ac:dyDescent="0.3">
      <c r="A21">
        <f t="shared" si="0"/>
        <v>2024</v>
      </c>
      <c r="BW21" t="e">
        <f>COUNTIF($BX$12:BX21,BX21)&amp;BX21</f>
        <v>#REF!</v>
      </c>
      <c r="BX21" t="e">
        <f>#REF!</f>
        <v>#REF!</v>
      </c>
      <c r="CA21" s="5">
        <v>2024</v>
      </c>
      <c r="CB21" s="5"/>
      <c r="CC21" s="5" t="s">
        <v>32</v>
      </c>
      <c r="CD21" s="5"/>
      <c r="CE21" s="5"/>
      <c r="CF21" s="6">
        <v>100100289037</v>
      </c>
      <c r="CG21" s="6"/>
      <c r="CH21" s="6"/>
      <c r="CI21" s="6"/>
      <c r="CJ21" s="6"/>
      <c r="CK21" s="5" t="s">
        <v>37</v>
      </c>
      <c r="CL21" s="5"/>
      <c r="CM21" s="5"/>
      <c r="CN21" s="5"/>
      <c r="CO21" s="5" t="s">
        <v>39</v>
      </c>
      <c r="CP21" s="5"/>
      <c r="CQ21" s="5"/>
      <c r="CR21" s="5"/>
      <c r="CS21" s="5"/>
      <c r="CT21" s="5"/>
      <c r="CU21" s="5"/>
      <c r="CV21" s="7">
        <v>3635.04</v>
      </c>
      <c r="CW21" s="7"/>
      <c r="CX21" s="7"/>
      <c r="CY21" s="7"/>
      <c r="CZ21" s="8">
        <v>15973.33</v>
      </c>
      <c r="DA21" s="8"/>
      <c r="DB21" s="8"/>
      <c r="DC21" s="8"/>
      <c r="DD21" s="8"/>
    </row>
    <row r="22" spans="1:108" x14ac:dyDescent="0.3">
      <c r="A22">
        <f t="shared" si="0"/>
        <v>2024</v>
      </c>
      <c r="BW22" t="e">
        <f>COUNTIF($BX$12:BX22,BX22)&amp;BX22</f>
        <v>#REF!</v>
      </c>
      <c r="BX22" t="e">
        <f>#REF!</f>
        <v>#REF!</v>
      </c>
      <c r="CA22" s="5">
        <v>2024</v>
      </c>
      <c r="CB22" s="5"/>
      <c r="CC22" s="5" t="s">
        <v>40</v>
      </c>
      <c r="CD22" s="5"/>
      <c r="CE22" s="5"/>
      <c r="CF22" s="6">
        <v>167440</v>
      </c>
      <c r="CG22" s="6"/>
      <c r="CH22" s="6"/>
      <c r="CI22" s="6"/>
      <c r="CJ22" s="6"/>
      <c r="CK22" s="5" t="s">
        <v>41</v>
      </c>
      <c r="CL22" s="5"/>
      <c r="CM22" s="5"/>
      <c r="CN22" s="5"/>
      <c r="CO22" s="5" t="s">
        <v>42</v>
      </c>
      <c r="CP22" s="5"/>
      <c r="CQ22" s="5"/>
      <c r="CR22" s="5"/>
      <c r="CS22" s="5"/>
      <c r="CT22" s="5"/>
      <c r="CU22" s="5"/>
      <c r="CV22" s="7">
        <v>7339.84</v>
      </c>
      <c r="CW22" s="7"/>
      <c r="CX22" s="7"/>
      <c r="CY22" s="7"/>
      <c r="CZ22" s="8">
        <v>92505.88</v>
      </c>
      <c r="DA22" s="8"/>
      <c r="DB22" s="8"/>
      <c r="DC22" s="8"/>
      <c r="DD22" s="8"/>
    </row>
    <row r="23" spans="1:108" x14ac:dyDescent="0.3">
      <c r="A23">
        <f t="shared" si="0"/>
        <v>2024</v>
      </c>
      <c r="BW23" t="e">
        <f>COUNTIF($BX$12:BX23,BX23)&amp;BX23</f>
        <v>#REF!</v>
      </c>
      <c r="BX23" t="e">
        <f>#REF!</f>
        <v>#REF!</v>
      </c>
      <c r="CA23" s="5">
        <v>2024</v>
      </c>
      <c r="CB23" s="5"/>
      <c r="CC23" s="5" t="s">
        <v>40</v>
      </c>
      <c r="CD23" s="5"/>
      <c r="CE23" s="5"/>
      <c r="CF23" s="6">
        <v>194975</v>
      </c>
      <c r="CG23" s="6"/>
      <c r="CH23" s="6"/>
      <c r="CI23" s="6"/>
      <c r="CJ23" s="6"/>
      <c r="CK23" s="5" t="s">
        <v>41</v>
      </c>
      <c r="CL23" s="5"/>
      <c r="CM23" s="5"/>
      <c r="CN23" s="5"/>
      <c r="CO23" s="5" t="s">
        <v>43</v>
      </c>
      <c r="CP23" s="5"/>
      <c r="CQ23" s="5"/>
      <c r="CR23" s="5"/>
      <c r="CS23" s="5"/>
      <c r="CT23" s="5"/>
      <c r="CU23" s="5"/>
      <c r="CV23" s="7">
        <v>196.9</v>
      </c>
      <c r="CW23" s="7"/>
      <c r="CX23" s="7"/>
      <c r="CY23" s="7"/>
      <c r="CZ23" s="8">
        <v>2481.5300000000002</v>
      </c>
      <c r="DA23" s="8"/>
      <c r="DB23" s="8"/>
      <c r="DC23" s="8"/>
      <c r="DD23" s="8"/>
    </row>
    <row r="24" spans="1:108" x14ac:dyDescent="0.3">
      <c r="A24">
        <f t="shared" si="0"/>
        <v>2024</v>
      </c>
      <c r="BW24" t="e">
        <f>COUNTIF($BX$12:BX24,BX24)&amp;BX24</f>
        <v>#REF!</v>
      </c>
      <c r="BX24" t="e">
        <f>#REF!</f>
        <v>#REF!</v>
      </c>
      <c r="CA24" s="5">
        <v>2024</v>
      </c>
      <c r="CB24" s="5"/>
      <c r="CC24" s="5" t="s">
        <v>40</v>
      </c>
      <c r="CD24" s="5"/>
      <c r="CE24" s="5"/>
      <c r="CF24" s="6">
        <v>165544</v>
      </c>
      <c r="CG24" s="6"/>
      <c r="CH24" s="6"/>
      <c r="CI24" s="6"/>
      <c r="CJ24" s="6"/>
      <c r="CK24" s="5" t="s">
        <v>41</v>
      </c>
      <c r="CL24" s="5"/>
      <c r="CM24" s="5"/>
      <c r="CN24" s="5"/>
      <c r="CO24" s="5" t="s">
        <v>44</v>
      </c>
      <c r="CP24" s="5"/>
      <c r="CQ24" s="5"/>
      <c r="CR24" s="5"/>
      <c r="CS24" s="5"/>
      <c r="CT24" s="5"/>
      <c r="CU24" s="5"/>
      <c r="CV24" s="7">
        <v>7107.7</v>
      </c>
      <c r="CW24" s="7"/>
      <c r="CX24" s="7"/>
      <c r="CY24" s="7"/>
      <c r="CZ24" s="8">
        <v>89580.12</v>
      </c>
      <c r="DA24" s="8"/>
      <c r="DB24" s="8"/>
      <c r="DC24" s="8"/>
      <c r="DD24" s="8"/>
    </row>
    <row r="25" spans="1:108" x14ac:dyDescent="0.3">
      <c r="A25">
        <f t="shared" si="0"/>
        <v>2024</v>
      </c>
      <c r="BW25" t="e">
        <f>COUNTIF($BX$12:BX25,BX25)&amp;BX25</f>
        <v>#REF!</v>
      </c>
      <c r="BX25" t="e">
        <f>#REF!</f>
        <v>#REF!</v>
      </c>
      <c r="CA25" s="5">
        <v>2024</v>
      </c>
      <c r="CB25" s="5"/>
      <c r="CC25" s="5" t="s">
        <v>40</v>
      </c>
      <c r="CD25" s="5"/>
      <c r="CE25" s="5"/>
      <c r="CF25" s="6">
        <v>100100289007</v>
      </c>
      <c r="CG25" s="6"/>
      <c r="CH25" s="6"/>
      <c r="CI25" s="6"/>
      <c r="CJ25" s="6"/>
      <c r="CK25" s="5" t="s">
        <v>45</v>
      </c>
      <c r="CL25" s="5"/>
      <c r="CM25" s="5"/>
      <c r="CN25" s="5"/>
      <c r="CO25" s="5" t="s">
        <v>46</v>
      </c>
      <c r="CP25" s="5"/>
      <c r="CQ25" s="5"/>
      <c r="CR25" s="5"/>
      <c r="CS25" s="5"/>
      <c r="CT25" s="5"/>
      <c r="CU25" s="5"/>
      <c r="CV25" s="7">
        <v>2773.92</v>
      </c>
      <c r="CW25" s="7"/>
      <c r="CX25" s="7"/>
      <c r="CY25" s="7"/>
      <c r="CZ25" s="8">
        <v>11735.29</v>
      </c>
      <c r="DA25" s="8"/>
      <c r="DB25" s="8"/>
      <c r="DC25" s="8"/>
      <c r="DD25" s="8"/>
    </row>
    <row r="26" spans="1:108" x14ac:dyDescent="0.3">
      <c r="A26">
        <f t="shared" si="0"/>
        <v>2024</v>
      </c>
      <c r="BW26" t="e">
        <f>COUNTIF($BX$12:BX26,BX26)&amp;BX26</f>
        <v>#REF!</v>
      </c>
      <c r="BX26" t="e">
        <f>#REF!</f>
        <v>#REF!</v>
      </c>
      <c r="CA26" s="5">
        <v>2024</v>
      </c>
      <c r="CB26" s="5"/>
      <c r="CC26" s="5" t="s">
        <v>40</v>
      </c>
      <c r="CD26" s="5"/>
      <c r="CE26" s="5"/>
      <c r="CF26" s="6">
        <v>100100289037</v>
      </c>
      <c r="CG26" s="6"/>
      <c r="CH26" s="6"/>
      <c r="CI26" s="6"/>
      <c r="CJ26" s="6"/>
      <c r="CK26" s="5" t="s">
        <v>45</v>
      </c>
      <c r="CL26" s="5"/>
      <c r="CM26" s="5"/>
      <c r="CN26" s="5"/>
      <c r="CO26" s="5" t="s">
        <v>47</v>
      </c>
      <c r="CP26" s="5"/>
      <c r="CQ26" s="5"/>
      <c r="CR26" s="5"/>
      <c r="CS26" s="5"/>
      <c r="CT26" s="5"/>
      <c r="CU26" s="5"/>
      <c r="CV26" s="7">
        <v>4657.5200000000004</v>
      </c>
      <c r="CW26" s="7"/>
      <c r="CX26" s="7"/>
      <c r="CY26" s="7"/>
      <c r="CZ26" s="8">
        <v>20433.02</v>
      </c>
      <c r="DA26" s="8"/>
      <c r="DB26" s="8"/>
      <c r="DC26" s="8"/>
      <c r="DD26" s="8"/>
    </row>
    <row r="27" spans="1:108" x14ac:dyDescent="0.3">
      <c r="A27">
        <f t="shared" si="0"/>
        <v>2024</v>
      </c>
      <c r="BW27" t="e">
        <f>COUNTIF($BX$12:BX27,BX27)&amp;BX27</f>
        <v>#REF!</v>
      </c>
      <c r="BX27" t="e">
        <f>#REF!</f>
        <v>#REF!</v>
      </c>
      <c r="CA27" s="5">
        <v>2024</v>
      </c>
      <c r="CB27" s="5"/>
      <c r="CC27" s="5" t="s">
        <v>13</v>
      </c>
      <c r="CD27" s="5"/>
      <c r="CE27" s="5"/>
      <c r="CF27" s="6">
        <v>165544</v>
      </c>
      <c r="CG27" s="6"/>
      <c r="CH27" s="6"/>
      <c r="CI27" s="6"/>
      <c r="CJ27" s="6"/>
      <c r="CK27" s="5" t="s">
        <v>48</v>
      </c>
      <c r="CL27" s="5"/>
      <c r="CM27" s="5"/>
      <c r="CN27" s="5"/>
      <c r="CO27" s="5" t="s">
        <v>49</v>
      </c>
      <c r="CP27" s="5"/>
      <c r="CQ27" s="5"/>
      <c r="CR27" s="5"/>
      <c r="CS27" s="5"/>
      <c r="CT27" s="5"/>
      <c r="CU27" s="5"/>
      <c r="CV27" s="7">
        <v>4058.35</v>
      </c>
      <c r="CW27" s="7"/>
      <c r="CX27" s="7"/>
      <c r="CY27" s="7"/>
      <c r="CZ27" s="8">
        <v>51551.66</v>
      </c>
      <c r="DA27" s="8"/>
      <c r="DB27" s="8"/>
      <c r="DC27" s="8"/>
      <c r="DD27" s="8"/>
    </row>
    <row r="28" spans="1:108" x14ac:dyDescent="0.3">
      <c r="A28">
        <f t="shared" si="0"/>
        <v>2024</v>
      </c>
      <c r="BW28" t="e">
        <f>COUNTIF($BX$12:BX28,BX28)&amp;BX28</f>
        <v>#REF!</v>
      </c>
      <c r="BX28" t="e">
        <f>#REF!</f>
        <v>#REF!</v>
      </c>
      <c r="CA28" s="5">
        <v>2024</v>
      </c>
      <c r="CB28" s="5"/>
      <c r="CC28" s="5" t="s">
        <v>13</v>
      </c>
      <c r="CD28" s="5"/>
      <c r="CE28" s="5"/>
      <c r="CF28" s="6">
        <v>167440</v>
      </c>
      <c r="CG28" s="6"/>
      <c r="CH28" s="6"/>
      <c r="CI28" s="6"/>
      <c r="CJ28" s="6"/>
      <c r="CK28" s="5" t="s">
        <v>48</v>
      </c>
      <c r="CL28" s="5"/>
      <c r="CM28" s="5"/>
      <c r="CN28" s="5"/>
      <c r="CO28" s="5" t="s">
        <v>50</v>
      </c>
      <c r="CP28" s="5"/>
      <c r="CQ28" s="5"/>
      <c r="CR28" s="5"/>
      <c r="CS28" s="5"/>
      <c r="CT28" s="5"/>
      <c r="CU28" s="5"/>
      <c r="CV28" s="7">
        <v>2030.38</v>
      </c>
      <c r="CW28" s="7"/>
      <c r="CX28" s="7"/>
      <c r="CY28" s="7"/>
      <c r="CZ28" s="8">
        <v>25791.1</v>
      </c>
      <c r="DA28" s="8"/>
      <c r="DB28" s="8"/>
      <c r="DC28" s="8"/>
      <c r="DD28" s="8"/>
    </row>
    <row r="29" spans="1:108" x14ac:dyDescent="0.3">
      <c r="A29">
        <f t="shared" si="0"/>
        <v>2024</v>
      </c>
      <c r="BW29" t="e">
        <f>COUNTIF($BX$12:BX29,BX29)&amp;BX29</f>
        <v>#REF!</v>
      </c>
      <c r="BX29" t="e">
        <f>#REF!</f>
        <v>#REF!</v>
      </c>
      <c r="CA29" s="5">
        <v>2024</v>
      </c>
      <c r="CB29" s="5"/>
      <c r="CC29" s="5" t="s">
        <v>13</v>
      </c>
      <c r="CD29" s="5"/>
      <c r="CE29" s="5"/>
      <c r="CF29" s="6">
        <v>194975</v>
      </c>
      <c r="CG29" s="6"/>
      <c r="CH29" s="6"/>
      <c r="CI29" s="6"/>
      <c r="CJ29" s="6"/>
      <c r="CK29" s="5" t="s">
        <v>48</v>
      </c>
      <c r="CL29" s="5"/>
      <c r="CM29" s="5"/>
      <c r="CN29" s="5"/>
      <c r="CO29" s="5" t="s">
        <v>51</v>
      </c>
      <c r="CP29" s="5"/>
      <c r="CQ29" s="5"/>
      <c r="CR29" s="5"/>
      <c r="CS29" s="5"/>
      <c r="CT29" s="5"/>
      <c r="CU29" s="5"/>
      <c r="CV29" s="7">
        <v>109.39</v>
      </c>
      <c r="CW29" s="7"/>
      <c r="CX29" s="7"/>
      <c r="CY29" s="7"/>
      <c r="CZ29" s="8">
        <v>1403.36</v>
      </c>
      <c r="DA29" s="8"/>
      <c r="DB29" s="8"/>
      <c r="DC29" s="8"/>
      <c r="DD29" s="8"/>
    </row>
    <row r="30" spans="1:108" x14ac:dyDescent="0.3">
      <c r="A30">
        <f t="shared" si="0"/>
        <v>2024</v>
      </c>
      <c r="BW30" t="e">
        <f>COUNTIF($BX$12:BX30,BX30)&amp;BX30</f>
        <v>#REF!</v>
      </c>
      <c r="BX30" t="e">
        <f>#REF!</f>
        <v>#REF!</v>
      </c>
      <c r="CA30" s="5">
        <v>2024</v>
      </c>
      <c r="CB30" s="5"/>
      <c r="CC30" s="5" t="s">
        <v>13</v>
      </c>
      <c r="CD30" s="5"/>
      <c r="CE30" s="5"/>
      <c r="CF30" s="6">
        <v>100100289007</v>
      </c>
      <c r="CG30" s="6"/>
      <c r="CH30" s="6"/>
      <c r="CI30" s="6"/>
      <c r="CJ30" s="6"/>
      <c r="CK30" s="5" t="s">
        <v>52</v>
      </c>
      <c r="CL30" s="5"/>
      <c r="CM30" s="5"/>
      <c r="CN30" s="5"/>
      <c r="CO30" s="5" t="s">
        <v>53</v>
      </c>
      <c r="CP30" s="5"/>
      <c r="CQ30" s="5"/>
      <c r="CR30" s="5"/>
      <c r="CS30" s="5"/>
      <c r="CT30" s="5"/>
      <c r="CU30" s="5"/>
      <c r="CV30" s="7">
        <v>2013.6</v>
      </c>
      <c r="CW30" s="7"/>
      <c r="CX30" s="7"/>
      <c r="CY30" s="7"/>
      <c r="CZ30" s="8">
        <v>8259.06</v>
      </c>
      <c r="DA30" s="8"/>
      <c r="DB30" s="8"/>
      <c r="DC30" s="8"/>
      <c r="DD30" s="8"/>
    </row>
    <row r="31" spans="1:108" x14ac:dyDescent="0.3">
      <c r="A31">
        <f t="shared" si="0"/>
        <v>2024</v>
      </c>
      <c r="BW31" t="e">
        <f>COUNTIF($BX$12:BX31,BX31)&amp;BX31</f>
        <v>#REF!</v>
      </c>
      <c r="BX31" t="e">
        <f>#REF!</f>
        <v>#REF!</v>
      </c>
      <c r="CA31" s="5">
        <v>2024</v>
      </c>
      <c r="CB31" s="5"/>
      <c r="CC31" s="5" t="s">
        <v>13</v>
      </c>
      <c r="CD31" s="5"/>
      <c r="CE31" s="5"/>
      <c r="CF31" s="6">
        <v>100100289037</v>
      </c>
      <c r="CG31" s="6"/>
      <c r="CH31" s="6"/>
      <c r="CI31" s="6"/>
      <c r="CJ31" s="6"/>
      <c r="CK31" s="5" t="s">
        <v>52</v>
      </c>
      <c r="CL31" s="5"/>
      <c r="CM31" s="5"/>
      <c r="CN31" s="5"/>
      <c r="CO31" s="5" t="s">
        <v>54</v>
      </c>
      <c r="CP31" s="5"/>
      <c r="CQ31" s="5"/>
      <c r="CR31" s="5"/>
      <c r="CS31" s="5"/>
      <c r="CT31" s="5"/>
      <c r="CU31" s="5"/>
      <c r="CV31" s="7">
        <v>2854.32</v>
      </c>
      <c r="CW31" s="7"/>
      <c r="CX31" s="7"/>
      <c r="CY31" s="7"/>
      <c r="CZ31" s="8">
        <v>12141.18</v>
      </c>
      <c r="DA31" s="8"/>
      <c r="DB31" s="8"/>
      <c r="DC31" s="8"/>
      <c r="DD31" s="8"/>
    </row>
    <row r="32" spans="1:108" x14ac:dyDescent="0.3">
      <c r="A32">
        <f t="shared" si="0"/>
        <v>2024</v>
      </c>
      <c r="BW32" t="e">
        <f>COUNTIF($BX$12:BX32,BX32)&amp;BX32</f>
        <v>#REF!</v>
      </c>
      <c r="BX32" t="e">
        <f>#REF!</f>
        <v>#REF!</v>
      </c>
      <c r="CA32" s="5">
        <v>2024</v>
      </c>
      <c r="CB32" s="5"/>
      <c r="CC32" s="5" t="s">
        <v>55</v>
      </c>
      <c r="CD32" s="5"/>
      <c r="CE32" s="5"/>
      <c r="CF32" s="6">
        <v>165544</v>
      </c>
      <c r="CG32" s="6"/>
      <c r="CH32" s="6"/>
      <c r="CI32" s="6"/>
      <c r="CJ32" s="6"/>
      <c r="CK32" s="5" t="s">
        <v>56</v>
      </c>
      <c r="CL32" s="5"/>
      <c r="CM32" s="5"/>
      <c r="CN32" s="5"/>
      <c r="CO32" s="5" t="s">
        <v>57</v>
      </c>
      <c r="CP32" s="5"/>
      <c r="CQ32" s="5"/>
      <c r="CR32" s="5"/>
      <c r="CS32" s="5"/>
      <c r="CT32" s="5"/>
      <c r="CU32" s="5"/>
      <c r="CV32" s="7">
        <v>4375.62</v>
      </c>
      <c r="CW32" s="7"/>
      <c r="CX32" s="7"/>
      <c r="CY32" s="7"/>
      <c r="CZ32" s="8">
        <v>55895.29</v>
      </c>
      <c r="DA32" s="8"/>
      <c r="DB32" s="8"/>
      <c r="DC32" s="8"/>
      <c r="DD32" s="8"/>
    </row>
    <row r="33" spans="1:108" x14ac:dyDescent="0.3">
      <c r="A33">
        <f t="shared" si="0"/>
        <v>2024</v>
      </c>
      <c r="BW33" t="e">
        <f>COUNTIF($BX$12:BX33,BX33)&amp;BX33</f>
        <v>#REF!</v>
      </c>
      <c r="BX33" t="e">
        <f>#REF!</f>
        <v>#REF!</v>
      </c>
      <c r="CA33" s="5">
        <v>2024</v>
      </c>
      <c r="CB33" s="5"/>
      <c r="CC33" s="5" t="s">
        <v>55</v>
      </c>
      <c r="CD33" s="5"/>
      <c r="CE33" s="5"/>
      <c r="CF33" s="6">
        <v>167440</v>
      </c>
      <c r="CG33" s="6"/>
      <c r="CH33" s="6"/>
      <c r="CI33" s="6"/>
      <c r="CJ33" s="6"/>
      <c r="CK33" s="5" t="s">
        <v>56</v>
      </c>
      <c r="CL33" s="5"/>
      <c r="CM33" s="5"/>
      <c r="CN33" s="5"/>
      <c r="CO33" s="5" t="s">
        <v>58</v>
      </c>
      <c r="CP33" s="5"/>
      <c r="CQ33" s="5"/>
      <c r="CR33" s="5"/>
      <c r="CS33" s="5"/>
      <c r="CT33" s="5"/>
      <c r="CU33" s="5"/>
      <c r="CV33" s="7">
        <v>4215.67</v>
      </c>
      <c r="CW33" s="7"/>
      <c r="CX33" s="7"/>
      <c r="CY33" s="7"/>
      <c r="CZ33" s="8">
        <v>53852</v>
      </c>
      <c r="DA33" s="8"/>
      <c r="DB33" s="8"/>
      <c r="DC33" s="8"/>
      <c r="DD33" s="8"/>
    </row>
    <row r="34" spans="1:108" x14ac:dyDescent="0.3">
      <c r="A34">
        <f t="shared" si="0"/>
        <v>2024</v>
      </c>
      <c r="BW34" t="e">
        <f>COUNTIF($BX$12:BX34,BX34)&amp;BX34</f>
        <v>#REF!</v>
      </c>
      <c r="BX34" t="e">
        <f>#REF!</f>
        <v>#REF!</v>
      </c>
      <c r="CA34" s="5">
        <v>2024</v>
      </c>
      <c r="CB34" s="5"/>
      <c r="CC34" s="5" t="s">
        <v>55</v>
      </c>
      <c r="CD34" s="5"/>
      <c r="CE34" s="5"/>
      <c r="CF34" s="6">
        <v>194975</v>
      </c>
      <c r="CG34" s="6"/>
      <c r="CH34" s="6"/>
      <c r="CI34" s="6"/>
      <c r="CJ34" s="6"/>
      <c r="CK34" s="5" t="s">
        <v>56</v>
      </c>
      <c r="CL34" s="5"/>
      <c r="CM34" s="5"/>
      <c r="CN34" s="5"/>
      <c r="CO34" s="5" t="s">
        <v>59</v>
      </c>
      <c r="CP34" s="5"/>
      <c r="CQ34" s="5"/>
      <c r="CR34" s="5"/>
      <c r="CS34" s="5"/>
      <c r="CT34" s="5"/>
      <c r="CU34" s="5"/>
      <c r="CV34" s="7">
        <v>138.63</v>
      </c>
      <c r="CW34" s="7"/>
      <c r="CX34" s="7"/>
      <c r="CY34" s="7"/>
      <c r="CZ34" s="8">
        <v>1770.84</v>
      </c>
      <c r="DA34" s="8"/>
      <c r="DB34" s="8"/>
      <c r="DC34" s="8"/>
      <c r="DD34" s="8"/>
    </row>
    <row r="35" spans="1:108" x14ac:dyDescent="0.3">
      <c r="A35">
        <f t="shared" si="0"/>
        <v>2024</v>
      </c>
      <c r="BW35" t="e">
        <f>COUNTIF($BX$12:BX35,BX35)&amp;BX35</f>
        <v>#REF!</v>
      </c>
      <c r="BX35" t="e">
        <f>#REF!</f>
        <v>#REF!</v>
      </c>
      <c r="CA35" s="5">
        <v>2024</v>
      </c>
      <c r="CB35" s="5"/>
      <c r="CC35" s="5" t="s">
        <v>60</v>
      </c>
      <c r="CD35" s="5"/>
      <c r="CE35" s="5"/>
      <c r="CF35" s="6">
        <v>165544</v>
      </c>
      <c r="CG35" s="6"/>
      <c r="CH35" s="6"/>
      <c r="CI35" s="6"/>
      <c r="CJ35" s="6"/>
      <c r="CK35" s="5" t="s">
        <v>61</v>
      </c>
      <c r="CL35" s="5"/>
      <c r="CM35" s="5"/>
      <c r="CN35" s="5"/>
      <c r="CO35" s="5" t="s">
        <v>62</v>
      </c>
      <c r="CP35" s="5"/>
      <c r="CQ35" s="5"/>
      <c r="CR35" s="5"/>
      <c r="CS35" s="5"/>
      <c r="CT35" s="5"/>
      <c r="CU35" s="5"/>
      <c r="CV35" s="7">
        <v>187.16</v>
      </c>
      <c r="CW35" s="7"/>
      <c r="CX35" s="7"/>
      <c r="CY35" s="7"/>
      <c r="CZ35" s="8">
        <v>2405.4699999999998</v>
      </c>
      <c r="DA35" s="8"/>
      <c r="DB35" s="8"/>
      <c r="DC35" s="8"/>
      <c r="DD35" s="8"/>
    </row>
    <row r="36" spans="1:108" x14ac:dyDescent="0.3">
      <c r="A36">
        <f t="shared" si="0"/>
        <v>2024</v>
      </c>
      <c r="BW36" t="e">
        <f>COUNTIF($BX$12:BX36,BX36)&amp;BX36</f>
        <v>#REF!</v>
      </c>
      <c r="BX36" t="e">
        <f>#REF!</f>
        <v>#REF!</v>
      </c>
      <c r="CA36" s="5">
        <v>2024</v>
      </c>
      <c r="CB36" s="5"/>
      <c r="CC36" s="5" t="s">
        <v>60</v>
      </c>
      <c r="CD36" s="5"/>
      <c r="CE36" s="5"/>
      <c r="CF36" s="6">
        <v>194975</v>
      </c>
      <c r="CG36" s="6"/>
      <c r="CH36" s="6"/>
      <c r="CI36" s="6"/>
      <c r="CJ36" s="6"/>
      <c r="CK36" s="5" t="s">
        <v>61</v>
      </c>
      <c r="CL36" s="5"/>
      <c r="CM36" s="5"/>
      <c r="CN36" s="5"/>
      <c r="CO36" s="5" t="s">
        <v>63</v>
      </c>
      <c r="CP36" s="5"/>
      <c r="CQ36" s="5"/>
      <c r="CR36" s="5"/>
      <c r="CS36" s="5"/>
      <c r="CT36" s="5"/>
      <c r="CU36" s="5"/>
      <c r="CV36" s="7">
        <v>34.869999999999997</v>
      </c>
      <c r="CW36" s="7"/>
      <c r="CX36" s="7"/>
      <c r="CY36" s="7"/>
      <c r="CZ36" s="8">
        <v>448.22</v>
      </c>
      <c r="DA36" s="8"/>
      <c r="DB36" s="8"/>
      <c r="DC36" s="8"/>
      <c r="DD36" s="8"/>
    </row>
    <row r="37" spans="1:108" x14ac:dyDescent="0.3">
      <c r="A37">
        <f t="shared" si="0"/>
        <v>2024</v>
      </c>
      <c r="BW37" t="e">
        <f>COUNTIF($BX$12:BX37,BX37)&amp;BX37</f>
        <v>#REF!</v>
      </c>
      <c r="BX37" t="e">
        <f>#REF!</f>
        <v>#REF!</v>
      </c>
      <c r="CA37" s="5">
        <v>2024</v>
      </c>
      <c r="CB37" s="5"/>
      <c r="CC37" s="5" t="s">
        <v>60</v>
      </c>
      <c r="CD37" s="5"/>
      <c r="CE37" s="5"/>
      <c r="CF37" s="6">
        <v>100100289007</v>
      </c>
      <c r="CG37" s="6"/>
      <c r="CH37" s="6"/>
      <c r="CI37" s="6"/>
      <c r="CJ37" s="6"/>
      <c r="CK37" s="5" t="s">
        <v>64</v>
      </c>
      <c r="CL37" s="5"/>
      <c r="CM37" s="5"/>
      <c r="CN37" s="5"/>
      <c r="CO37" s="5" t="s">
        <v>65</v>
      </c>
      <c r="CP37" s="5"/>
      <c r="CQ37" s="5"/>
      <c r="CR37" s="5"/>
      <c r="CS37" s="5"/>
      <c r="CT37" s="5"/>
      <c r="CU37" s="5"/>
      <c r="CV37" s="7">
        <v>1009.92</v>
      </c>
      <c r="CW37" s="7"/>
      <c r="CX37" s="7"/>
      <c r="CY37" s="7"/>
      <c r="CZ37" s="8">
        <v>3624.47</v>
      </c>
      <c r="DA37" s="8"/>
      <c r="DB37" s="8"/>
      <c r="DC37" s="8"/>
      <c r="DD37" s="8"/>
    </row>
    <row r="38" spans="1:108" x14ac:dyDescent="0.3">
      <c r="A38">
        <f t="shared" si="0"/>
        <v>2024</v>
      </c>
      <c r="BW38" t="e">
        <f>COUNTIF($BX$12:BX38,BX38)&amp;BX38</f>
        <v>#REF!</v>
      </c>
      <c r="BX38" t="e">
        <f>#REF!</f>
        <v>#REF!</v>
      </c>
      <c r="CA38" s="5">
        <v>2024</v>
      </c>
      <c r="CB38" s="5"/>
      <c r="CC38" s="5" t="s">
        <v>60</v>
      </c>
      <c r="CD38" s="5"/>
      <c r="CE38" s="5"/>
      <c r="CF38" s="6">
        <v>100100289037</v>
      </c>
      <c r="CG38" s="6"/>
      <c r="CH38" s="6"/>
      <c r="CI38" s="6"/>
      <c r="CJ38" s="6"/>
      <c r="CK38" s="5" t="s">
        <v>64</v>
      </c>
      <c r="CL38" s="5"/>
      <c r="CM38" s="5"/>
      <c r="CN38" s="5"/>
      <c r="CO38" s="5" t="s">
        <v>66</v>
      </c>
      <c r="CP38" s="5"/>
      <c r="CQ38" s="5"/>
      <c r="CR38" s="5"/>
      <c r="CS38" s="5"/>
      <c r="CT38" s="5"/>
      <c r="CU38" s="5"/>
      <c r="CV38" s="7">
        <v>1523.36</v>
      </c>
      <c r="CW38" s="7"/>
      <c r="CX38" s="7"/>
      <c r="CY38" s="7"/>
      <c r="CZ38" s="8">
        <v>5995.33</v>
      </c>
      <c r="DA38" s="8"/>
      <c r="DB38" s="8"/>
      <c r="DC38" s="8"/>
      <c r="DD38" s="8"/>
    </row>
    <row r="39" spans="1:108" x14ac:dyDescent="0.3">
      <c r="A39">
        <f t="shared" si="0"/>
        <v>2024</v>
      </c>
      <c r="BW39" t="e">
        <f>COUNTIF($BX$12:BX39,BX39)&amp;BX39</f>
        <v>#REF!</v>
      </c>
      <c r="BX39" t="e">
        <f>#REF!</f>
        <v>#REF!</v>
      </c>
      <c r="CA39" s="5">
        <v>2024</v>
      </c>
      <c r="CB39" s="5"/>
      <c r="CC39" s="5" t="s">
        <v>67</v>
      </c>
      <c r="CD39" s="5"/>
      <c r="CE39" s="5"/>
      <c r="CF39" s="6">
        <v>100100289007</v>
      </c>
      <c r="CG39" s="6"/>
      <c r="CH39" s="6"/>
      <c r="CI39" s="6"/>
      <c r="CJ39" s="6"/>
      <c r="CK39" s="5" t="s">
        <v>68</v>
      </c>
      <c r="CL39" s="5"/>
      <c r="CM39" s="5"/>
      <c r="CN39" s="5"/>
      <c r="CO39" s="5" t="s">
        <v>69</v>
      </c>
      <c r="CP39" s="5"/>
      <c r="CQ39" s="5"/>
      <c r="CR39" s="5"/>
      <c r="CS39" s="5"/>
      <c r="CT39" s="5"/>
      <c r="CU39" s="5"/>
      <c r="CV39" s="7">
        <v>637.91999999999996</v>
      </c>
      <c r="CW39" s="7"/>
      <c r="CX39" s="7"/>
      <c r="CY39" s="7"/>
      <c r="CZ39" s="8">
        <v>3048.77</v>
      </c>
      <c r="DA39" s="8"/>
      <c r="DB39" s="8"/>
      <c r="DC39" s="8"/>
      <c r="DD39" s="8"/>
    </row>
    <row r="40" spans="1:108" x14ac:dyDescent="0.3">
      <c r="A40">
        <f t="shared" si="0"/>
        <v>2024</v>
      </c>
      <c r="BW40" t="e">
        <f>COUNTIF($BX$12:BX40,BX40)&amp;BX40</f>
        <v>#REF!</v>
      </c>
      <c r="BX40" t="e">
        <f>#REF!</f>
        <v>#REF!</v>
      </c>
      <c r="CA40" s="5">
        <v>2024</v>
      </c>
      <c r="CB40" s="5"/>
      <c r="CC40" s="5" t="s">
        <v>67</v>
      </c>
      <c r="CD40" s="5"/>
      <c r="CE40" s="5"/>
      <c r="CF40" s="6">
        <v>100100289037</v>
      </c>
      <c r="CG40" s="6"/>
      <c r="CH40" s="6"/>
      <c r="CI40" s="6"/>
      <c r="CJ40" s="6"/>
      <c r="CK40" s="5" t="s">
        <v>68</v>
      </c>
      <c r="CL40" s="5"/>
      <c r="CM40" s="5"/>
      <c r="CN40" s="5"/>
      <c r="CO40" s="5" t="s">
        <v>70</v>
      </c>
      <c r="CP40" s="5"/>
      <c r="CQ40" s="5"/>
      <c r="CR40" s="5"/>
      <c r="CS40" s="5"/>
      <c r="CT40" s="5"/>
      <c r="CU40" s="5"/>
      <c r="CV40" s="7">
        <v>238.88</v>
      </c>
      <c r="CW40" s="7"/>
      <c r="CX40" s="7"/>
      <c r="CY40" s="7"/>
      <c r="CZ40" s="8">
        <v>1141.67</v>
      </c>
      <c r="DA40" s="8"/>
      <c r="DB40" s="8"/>
      <c r="DC40" s="8"/>
      <c r="DD40" s="8"/>
    </row>
    <row r="41" spans="1:108" hidden="1" x14ac:dyDescent="0.3">
      <c r="A41" t="str">
        <f t="shared" si="0"/>
        <v/>
      </c>
      <c r="BW41" t="e">
        <f>COUNTIF($BX$12:BX41,BX41)&amp;BX41</f>
        <v>#REF!</v>
      </c>
      <c r="BX41" t="e">
        <f>#REF!</f>
        <v>#REF!</v>
      </c>
      <c r="CA41" s="5" t="str">
        <f>IFERROR(VLOOKUP(BW41,[1]faturakaydet!$BW:$CK,MATCH([1]faturakaydet!$CA$31,[1]faturakaydet!$BW$31:$CK$31,0),0),"")</f>
        <v/>
      </c>
      <c r="CB41" s="5"/>
      <c r="CC41" s="5" t="str">
        <f>IFERROR(VLOOKUP(BW41,[1]faturakaydet!$BW:$CK,MATCH([1]faturakaydet!$CB$31,[1]faturakaydet!$BW$31:$CK$31,0),0),"")</f>
        <v/>
      </c>
      <c r="CD41" s="5"/>
      <c r="CE41" s="5"/>
      <c r="CF41" s="6" t="str">
        <f>IFERROR(VLOOKUP(BW41,[1]faturakaydet!$BW:$CK,MATCH([1]faturakaydet!$CC$31,[1]faturakaydet!$BW$31:$CK$31,0),0),"")</f>
        <v/>
      </c>
      <c r="CG41" s="6"/>
      <c r="CH41" s="6"/>
      <c r="CI41" s="6"/>
      <c r="CJ41" s="6"/>
      <c r="CK41" s="5" t="str">
        <f>IFERROR(TEXT(VLOOKUP(BW41,[1]faturakaydet!$BW:$CK,MATCH([1]faturakaydet!$CD$31,[1]faturakaydet!$BW$31:$CK$31,0),0),"GG.AA.YYYY"),"")</f>
        <v/>
      </c>
      <c r="CL41" s="5"/>
      <c r="CM41" s="5"/>
      <c r="CN41" s="5"/>
      <c r="CO41" s="5" t="str">
        <f>IFERROR(VLOOKUP(BW41,[1]faturakaydet!$BW:$CK,MATCH([1]faturakaydet!$CF$31,[1]faturakaydet!$BW$31:$CK$31,0),0),"")</f>
        <v/>
      </c>
      <c r="CP41" s="5"/>
      <c r="CQ41" s="5"/>
      <c r="CR41" s="5"/>
      <c r="CS41" s="5"/>
      <c r="CT41" s="5"/>
      <c r="CU41" s="5"/>
      <c r="CV41" s="7" t="str">
        <f>IFERROR(VLOOKUP(BW41,[1]faturakaydet!$BW:$CK,MATCH([1]faturakaydet!$CH$31,[1]faturakaydet!$BW$31:$CK$31,0),0),"")</f>
        <v/>
      </c>
      <c r="CW41" s="7"/>
      <c r="CX41" s="7"/>
      <c r="CY41" s="7"/>
      <c r="CZ41" s="8" t="str">
        <f>IFERROR(VLOOKUP(BW41,[1]faturakaydet!$BW:$CK,MATCH([1]faturakaydet!$CG$31,[1]faturakaydet!$BW$31:$CK$31,0),0),"")</f>
        <v/>
      </c>
      <c r="DA41" s="8"/>
      <c r="DB41" s="8"/>
      <c r="DC41" s="8"/>
      <c r="DD41" s="8"/>
    </row>
    <row r="42" spans="1:108" hidden="1" x14ac:dyDescent="0.3">
      <c r="A42" t="str">
        <f t="shared" si="0"/>
        <v/>
      </c>
      <c r="BW42" t="e">
        <f>COUNTIF($BX$12:BX42,BX42)&amp;BX42</f>
        <v>#REF!</v>
      </c>
      <c r="BX42" t="e">
        <f>#REF!</f>
        <v>#REF!</v>
      </c>
      <c r="CA42" s="5" t="str">
        <f>IFERROR(VLOOKUP(BW42,[1]faturakaydet!$BW:$CK,MATCH([1]faturakaydet!$CA$31,[1]faturakaydet!$BW$31:$CK$31,0),0),"")</f>
        <v/>
      </c>
      <c r="CB42" s="5"/>
      <c r="CC42" s="5" t="str">
        <f>IFERROR(VLOOKUP(BW42,[1]faturakaydet!$BW:$CK,MATCH([1]faturakaydet!$CB$31,[1]faturakaydet!$BW$31:$CK$31,0),0),"")</f>
        <v/>
      </c>
      <c r="CD42" s="5"/>
      <c r="CE42" s="5"/>
      <c r="CF42" s="6" t="str">
        <f>IFERROR(VLOOKUP(BW42,[1]faturakaydet!$BW:$CK,MATCH([1]faturakaydet!$CC$31,[1]faturakaydet!$BW$31:$CK$31,0),0),"")</f>
        <v/>
      </c>
      <c r="CG42" s="6"/>
      <c r="CH42" s="6"/>
      <c r="CI42" s="6"/>
      <c r="CJ42" s="6"/>
      <c r="CK42" s="5" t="str">
        <f>IFERROR(TEXT(VLOOKUP(BW42,[1]faturakaydet!$BW:$CK,MATCH([1]faturakaydet!$CD$31,[1]faturakaydet!$BW$31:$CK$31,0),0),"GG.AA.YYYY"),"")</f>
        <v/>
      </c>
      <c r="CL42" s="5"/>
      <c r="CM42" s="5"/>
      <c r="CN42" s="5"/>
      <c r="CO42" s="5" t="str">
        <f>IFERROR(VLOOKUP(BW42,[1]faturakaydet!$BW:$CK,MATCH([1]faturakaydet!$CF$31,[1]faturakaydet!$BW$31:$CK$31,0),0),"")</f>
        <v/>
      </c>
      <c r="CP42" s="5"/>
      <c r="CQ42" s="5"/>
      <c r="CR42" s="5"/>
      <c r="CS42" s="5"/>
      <c r="CT42" s="5"/>
      <c r="CU42" s="5"/>
      <c r="CV42" s="7" t="str">
        <f>IFERROR(VLOOKUP(BW42,[1]faturakaydet!$BW:$CK,MATCH([1]faturakaydet!$CH$31,[1]faturakaydet!$BW$31:$CK$31,0),0),"")</f>
        <v/>
      </c>
      <c r="CW42" s="7"/>
      <c r="CX42" s="7"/>
      <c r="CY42" s="7"/>
      <c r="CZ42" s="8" t="str">
        <f>IFERROR(VLOOKUP(BW42,[1]faturakaydet!$BW:$CK,MATCH([1]faturakaydet!$CG$31,[1]faturakaydet!$BW$31:$CK$31,0),0),"")</f>
        <v/>
      </c>
      <c r="DA42" s="8"/>
      <c r="DB42" s="8"/>
      <c r="DC42" s="8"/>
      <c r="DD42" s="8"/>
    </row>
    <row r="43" spans="1:108" hidden="1" x14ac:dyDescent="0.3">
      <c r="A43" t="str">
        <f t="shared" si="0"/>
        <v/>
      </c>
      <c r="BW43" t="e">
        <f>COUNTIF($BX$12:BX43,BX43)&amp;BX43</f>
        <v>#REF!</v>
      </c>
      <c r="BX43" t="e">
        <f>#REF!</f>
        <v>#REF!</v>
      </c>
      <c r="CA43" s="5" t="str">
        <f>IFERROR(VLOOKUP(BW43,[1]faturakaydet!$BW:$CK,MATCH([1]faturakaydet!$CA$31,[1]faturakaydet!$BW$31:$CK$31,0),0),"")</f>
        <v/>
      </c>
      <c r="CB43" s="5"/>
      <c r="CC43" s="5" t="str">
        <f>IFERROR(VLOOKUP(BW43,[1]faturakaydet!$BW:$CK,MATCH([1]faturakaydet!$CB$31,[1]faturakaydet!$BW$31:$CK$31,0),0),"")</f>
        <v/>
      </c>
      <c r="CD43" s="5"/>
      <c r="CE43" s="5"/>
      <c r="CF43" s="6" t="str">
        <f>IFERROR(VLOOKUP(BW43,[1]faturakaydet!$BW:$CK,MATCH([1]faturakaydet!$CC$31,[1]faturakaydet!$BW$31:$CK$31,0),0),"")</f>
        <v/>
      </c>
      <c r="CG43" s="6"/>
      <c r="CH43" s="6"/>
      <c r="CI43" s="6"/>
      <c r="CJ43" s="6"/>
      <c r="CK43" s="5" t="str">
        <f>IFERROR(TEXT(VLOOKUP(BW43,[1]faturakaydet!$BW:$CK,MATCH([1]faturakaydet!$CD$31,[1]faturakaydet!$BW$31:$CK$31,0),0),"GG.AA.YYYY"),"")</f>
        <v/>
      </c>
      <c r="CL43" s="5"/>
      <c r="CM43" s="5"/>
      <c r="CN43" s="5"/>
      <c r="CO43" s="5" t="str">
        <f>IFERROR(VLOOKUP(BW43,[1]faturakaydet!$BW:$CK,MATCH([1]faturakaydet!$CF$31,[1]faturakaydet!$BW$31:$CK$31,0),0),"")</f>
        <v/>
      </c>
      <c r="CP43" s="5"/>
      <c r="CQ43" s="5"/>
      <c r="CR43" s="5"/>
      <c r="CS43" s="5"/>
      <c r="CT43" s="5"/>
      <c r="CU43" s="5"/>
      <c r="CV43" s="7" t="str">
        <f>IFERROR(VLOOKUP(BW43,[1]faturakaydet!$BW:$CK,MATCH([1]faturakaydet!$CH$31,[1]faturakaydet!$BW$31:$CK$31,0),0),"")</f>
        <v/>
      </c>
      <c r="CW43" s="7"/>
      <c r="CX43" s="7"/>
      <c r="CY43" s="7"/>
      <c r="CZ43" s="8" t="str">
        <f>IFERROR(VLOOKUP(BW43,[1]faturakaydet!$BW:$CK,MATCH([1]faturakaydet!$CG$31,[1]faturakaydet!$BW$31:$CK$31,0),0),"")</f>
        <v/>
      </c>
      <c r="DA43" s="8"/>
      <c r="DB43" s="8"/>
      <c r="DC43" s="8"/>
      <c r="DD43" s="8"/>
    </row>
    <row r="44" spans="1:108" hidden="1" x14ac:dyDescent="0.3">
      <c r="A44" t="str">
        <f t="shared" si="0"/>
        <v/>
      </c>
      <c r="BW44" t="e">
        <f>COUNTIF($BX$12:BX44,BX44)&amp;BX44</f>
        <v>#REF!</v>
      </c>
      <c r="BX44" t="e">
        <f>#REF!</f>
        <v>#REF!</v>
      </c>
      <c r="CA44" s="5" t="str">
        <f>IFERROR(VLOOKUP(BW44,[1]faturakaydet!$BW:$CK,MATCH([1]faturakaydet!$CA$31,[1]faturakaydet!$BW$31:$CK$31,0),0),"")</f>
        <v/>
      </c>
      <c r="CB44" s="5"/>
      <c r="CC44" s="5" t="str">
        <f>IFERROR(VLOOKUP(BW44,[1]faturakaydet!$BW:$CK,MATCH([1]faturakaydet!$CB$31,[1]faturakaydet!$BW$31:$CK$31,0),0),"")</f>
        <v/>
      </c>
      <c r="CD44" s="5"/>
      <c r="CE44" s="5"/>
      <c r="CF44" s="6" t="str">
        <f>IFERROR(VLOOKUP(BW44,[1]faturakaydet!$BW:$CK,MATCH([1]faturakaydet!$CC$31,[1]faturakaydet!$BW$31:$CK$31,0),0),"")</f>
        <v/>
      </c>
      <c r="CG44" s="6"/>
      <c r="CH44" s="6"/>
      <c r="CI44" s="6"/>
      <c r="CJ44" s="6"/>
      <c r="CK44" s="5" t="str">
        <f>IFERROR(TEXT(VLOOKUP(BW44,[1]faturakaydet!$BW:$CK,MATCH([1]faturakaydet!$CD$31,[1]faturakaydet!$BW$31:$CK$31,0),0),"GG.AA.YYYY"),"")</f>
        <v/>
      </c>
      <c r="CL44" s="5"/>
      <c r="CM44" s="5"/>
      <c r="CN44" s="5"/>
      <c r="CO44" s="5" t="str">
        <f>IFERROR(VLOOKUP(BW44,[1]faturakaydet!$BW:$CK,MATCH([1]faturakaydet!$CF$31,[1]faturakaydet!$BW$31:$CK$31,0),0),"")</f>
        <v/>
      </c>
      <c r="CP44" s="5"/>
      <c r="CQ44" s="5"/>
      <c r="CR44" s="5"/>
      <c r="CS44" s="5"/>
      <c r="CT44" s="5"/>
      <c r="CU44" s="5"/>
      <c r="CV44" s="7" t="str">
        <f>IFERROR(VLOOKUP(BW44,[1]faturakaydet!$BW:$CK,MATCH([1]faturakaydet!$CH$31,[1]faturakaydet!$BW$31:$CK$31,0),0),"")</f>
        <v/>
      </c>
      <c r="CW44" s="7"/>
      <c r="CX44" s="7"/>
      <c r="CY44" s="7"/>
      <c r="CZ44" s="8" t="str">
        <f>IFERROR(VLOOKUP(BW44,[1]faturakaydet!$BW:$CK,MATCH([1]faturakaydet!$CG$31,[1]faturakaydet!$BW$31:$CK$31,0),0),"")</f>
        <v/>
      </c>
      <c r="DA44" s="8"/>
      <c r="DB44" s="8"/>
      <c r="DC44" s="8"/>
      <c r="DD44" s="8"/>
    </row>
    <row r="45" spans="1:108" hidden="1" x14ac:dyDescent="0.3">
      <c r="A45" t="str">
        <f t="shared" si="0"/>
        <v/>
      </c>
      <c r="BW45" t="e">
        <f>COUNTIF($BX$12:BX45,BX45)&amp;BX45</f>
        <v>#REF!</v>
      </c>
      <c r="BX45" t="e">
        <f>#REF!</f>
        <v>#REF!</v>
      </c>
      <c r="CA45" s="5" t="str">
        <f>IFERROR(VLOOKUP(BW45,[1]faturakaydet!$BW:$CK,MATCH([1]faturakaydet!$CA$31,[1]faturakaydet!$BW$31:$CK$31,0),0),"")</f>
        <v/>
      </c>
      <c r="CB45" s="5"/>
      <c r="CC45" s="5" t="str">
        <f>IFERROR(VLOOKUP(BW45,[1]faturakaydet!$BW:$CK,MATCH([1]faturakaydet!$CB$31,[1]faturakaydet!$BW$31:$CK$31,0),0),"")</f>
        <v/>
      </c>
      <c r="CD45" s="5"/>
      <c r="CE45" s="5"/>
      <c r="CF45" s="6" t="str">
        <f>IFERROR(VLOOKUP(BW45,[1]faturakaydet!$BW:$CK,MATCH([1]faturakaydet!$CC$31,[1]faturakaydet!$BW$31:$CK$31,0),0),"")</f>
        <v/>
      </c>
      <c r="CG45" s="6"/>
      <c r="CH45" s="6"/>
      <c r="CI45" s="6"/>
      <c r="CJ45" s="6"/>
      <c r="CK45" s="5" t="str">
        <f>IFERROR(TEXT(VLOOKUP(BW45,[1]faturakaydet!$BW:$CK,MATCH([1]faturakaydet!$CD$31,[1]faturakaydet!$BW$31:$CK$31,0),0),"GG.AA.YYYY"),"")</f>
        <v/>
      </c>
      <c r="CL45" s="5"/>
      <c r="CM45" s="5"/>
      <c r="CN45" s="5"/>
      <c r="CO45" s="5" t="str">
        <f>IFERROR(VLOOKUP(BW45,[1]faturakaydet!$BW:$CK,MATCH([1]faturakaydet!$CF$31,[1]faturakaydet!$BW$31:$CK$31,0),0),"")</f>
        <v/>
      </c>
      <c r="CP45" s="5"/>
      <c r="CQ45" s="5"/>
      <c r="CR45" s="5"/>
      <c r="CS45" s="5"/>
      <c r="CT45" s="5"/>
      <c r="CU45" s="5"/>
      <c r="CV45" s="7" t="str">
        <f>IFERROR(VLOOKUP(BW45,[1]faturakaydet!$BW:$CK,MATCH([1]faturakaydet!$CH$31,[1]faturakaydet!$BW$31:$CK$31,0),0),"")</f>
        <v/>
      </c>
      <c r="CW45" s="7"/>
      <c r="CX45" s="7"/>
      <c r="CY45" s="7"/>
      <c r="CZ45" s="8" t="str">
        <f>IFERROR(VLOOKUP(BW45,[1]faturakaydet!$BW:$CK,MATCH([1]faturakaydet!$CG$31,[1]faturakaydet!$BW$31:$CK$31,0),0),"")</f>
        <v/>
      </c>
      <c r="DA45" s="8"/>
      <c r="DB45" s="8"/>
      <c r="DC45" s="8"/>
      <c r="DD45" s="8"/>
    </row>
    <row r="46" spans="1:108" hidden="1" x14ac:dyDescent="0.3">
      <c r="A46" t="str">
        <f t="shared" si="0"/>
        <v/>
      </c>
      <c r="BW46" t="e">
        <f>COUNTIF($BX$12:BX46,BX46)&amp;BX46</f>
        <v>#REF!</v>
      </c>
      <c r="BX46" t="e">
        <f>#REF!</f>
        <v>#REF!</v>
      </c>
      <c r="CA46" s="5" t="str">
        <f>IFERROR(VLOOKUP(BW46,[1]faturakaydet!$BW:$CK,MATCH([1]faturakaydet!$CA$31,[1]faturakaydet!$BW$31:$CK$31,0),0),"")</f>
        <v/>
      </c>
      <c r="CB46" s="5"/>
      <c r="CC46" s="5" t="str">
        <f>IFERROR(VLOOKUP(BW46,[1]faturakaydet!$BW:$CK,MATCH([1]faturakaydet!$CB$31,[1]faturakaydet!$BW$31:$CK$31,0),0),"")</f>
        <v/>
      </c>
      <c r="CD46" s="5"/>
      <c r="CE46" s="5"/>
      <c r="CF46" s="6" t="str">
        <f>IFERROR(VLOOKUP(BW46,[1]faturakaydet!$BW:$CK,MATCH([1]faturakaydet!$CC$31,[1]faturakaydet!$BW$31:$CK$31,0),0),"")</f>
        <v/>
      </c>
      <c r="CG46" s="6"/>
      <c r="CH46" s="6"/>
      <c r="CI46" s="6"/>
      <c r="CJ46" s="6"/>
      <c r="CK46" s="5" t="str">
        <f>IFERROR(TEXT(VLOOKUP(BW46,[1]faturakaydet!$BW:$CK,MATCH([1]faturakaydet!$CD$31,[1]faturakaydet!$BW$31:$CK$31,0),0),"GG.AA.YYYY"),"")</f>
        <v/>
      </c>
      <c r="CL46" s="5"/>
      <c r="CM46" s="5"/>
      <c r="CN46" s="5"/>
      <c r="CO46" s="5" t="str">
        <f>IFERROR(VLOOKUP(BW46,[1]faturakaydet!$BW:$CK,MATCH([1]faturakaydet!$CF$31,[1]faturakaydet!$BW$31:$CK$31,0),0),"")</f>
        <v/>
      </c>
      <c r="CP46" s="5"/>
      <c r="CQ46" s="5"/>
      <c r="CR46" s="5"/>
      <c r="CS46" s="5"/>
      <c r="CT46" s="5"/>
      <c r="CU46" s="5"/>
      <c r="CV46" s="7" t="str">
        <f>IFERROR(VLOOKUP(BW46,[1]faturakaydet!$BW:$CK,MATCH([1]faturakaydet!$CH$31,[1]faturakaydet!$BW$31:$CK$31,0),0),"")</f>
        <v/>
      </c>
      <c r="CW46" s="7"/>
      <c r="CX46" s="7"/>
      <c r="CY46" s="7"/>
      <c r="CZ46" s="8" t="str">
        <f>IFERROR(VLOOKUP(BW46,[1]faturakaydet!$BW:$CK,MATCH([1]faturakaydet!$CG$31,[1]faturakaydet!$BW$31:$CK$31,0),0),"")</f>
        <v/>
      </c>
      <c r="DA46" s="8"/>
      <c r="DB46" s="8"/>
      <c r="DC46" s="8"/>
      <c r="DD46" s="8"/>
    </row>
    <row r="47" spans="1:108" hidden="1" x14ac:dyDescent="0.3">
      <c r="A47" t="str">
        <f t="shared" si="0"/>
        <v/>
      </c>
      <c r="BW47" t="e">
        <f>COUNTIF($BX$12:BX47,BX47)&amp;BX47</f>
        <v>#REF!</v>
      </c>
      <c r="BX47" t="e">
        <f>#REF!</f>
        <v>#REF!</v>
      </c>
      <c r="CA47" s="5" t="str">
        <f>IFERROR(VLOOKUP(BW47,[1]faturakaydet!$BW:$CK,MATCH([1]faturakaydet!$CA$31,[1]faturakaydet!$BW$31:$CK$31,0),0),"")</f>
        <v/>
      </c>
      <c r="CB47" s="5"/>
      <c r="CC47" s="5" t="str">
        <f>IFERROR(VLOOKUP(BW47,[1]faturakaydet!$BW:$CK,MATCH([1]faturakaydet!$CB$31,[1]faturakaydet!$BW$31:$CK$31,0),0),"")</f>
        <v/>
      </c>
      <c r="CD47" s="5"/>
      <c r="CE47" s="5"/>
      <c r="CF47" s="6" t="str">
        <f>IFERROR(VLOOKUP(BW47,[1]faturakaydet!$BW:$CK,MATCH([1]faturakaydet!$CC$31,[1]faturakaydet!$BW$31:$CK$31,0),0),"")</f>
        <v/>
      </c>
      <c r="CG47" s="6"/>
      <c r="CH47" s="6"/>
      <c r="CI47" s="6"/>
      <c r="CJ47" s="6"/>
      <c r="CK47" s="5" t="str">
        <f>IFERROR(TEXT(VLOOKUP(BW47,[1]faturakaydet!$BW:$CK,MATCH([1]faturakaydet!$CD$31,[1]faturakaydet!$BW$31:$CK$31,0),0),"GG.AA.YYYY"),"")</f>
        <v/>
      </c>
      <c r="CL47" s="5"/>
      <c r="CM47" s="5"/>
      <c r="CN47" s="5"/>
      <c r="CO47" s="5" t="str">
        <f>IFERROR(VLOOKUP(BW47,[1]faturakaydet!$BW:$CK,MATCH([1]faturakaydet!$CF$31,[1]faturakaydet!$BW$31:$CK$31,0),0),"")</f>
        <v/>
      </c>
      <c r="CP47" s="5"/>
      <c r="CQ47" s="5"/>
      <c r="CR47" s="5"/>
      <c r="CS47" s="5"/>
      <c r="CT47" s="5"/>
      <c r="CU47" s="5"/>
      <c r="CV47" s="7" t="str">
        <f>IFERROR(VLOOKUP(BW47,[1]faturakaydet!$BW:$CK,MATCH([1]faturakaydet!$CH$31,[1]faturakaydet!$BW$31:$CK$31,0),0),"")</f>
        <v/>
      </c>
      <c r="CW47" s="7"/>
      <c r="CX47" s="7"/>
      <c r="CY47" s="7"/>
      <c r="CZ47" s="8" t="str">
        <f>IFERROR(VLOOKUP(BW47,[1]faturakaydet!$BW:$CK,MATCH([1]faturakaydet!$CG$31,[1]faturakaydet!$BW$31:$CK$31,0),0),"")</f>
        <v/>
      </c>
      <c r="DA47" s="8"/>
      <c r="DB47" s="8"/>
      <c r="DC47" s="8"/>
      <c r="DD47" s="8"/>
    </row>
    <row r="48" spans="1:108" hidden="1" x14ac:dyDescent="0.3">
      <c r="A48" t="str">
        <f t="shared" si="0"/>
        <v/>
      </c>
      <c r="BW48" t="e">
        <f>COUNTIF($BX$12:BX48,BX48)&amp;BX48</f>
        <v>#REF!</v>
      </c>
      <c r="BX48" t="e">
        <f>#REF!</f>
        <v>#REF!</v>
      </c>
      <c r="CA48" s="5" t="str">
        <f>IFERROR(VLOOKUP(BW48,[1]faturakaydet!$BW:$CK,MATCH([1]faturakaydet!$CA$31,[1]faturakaydet!$BW$31:$CK$31,0),0),"")</f>
        <v/>
      </c>
      <c r="CB48" s="5"/>
      <c r="CC48" s="5" t="str">
        <f>IFERROR(VLOOKUP(BW48,[1]faturakaydet!$BW:$CK,MATCH([1]faturakaydet!$CB$31,[1]faturakaydet!$BW$31:$CK$31,0),0),"")</f>
        <v/>
      </c>
      <c r="CD48" s="5"/>
      <c r="CE48" s="5"/>
      <c r="CF48" s="6" t="str">
        <f>IFERROR(VLOOKUP(BW48,[1]faturakaydet!$BW:$CK,MATCH([1]faturakaydet!$CC$31,[1]faturakaydet!$BW$31:$CK$31,0),0),"")</f>
        <v/>
      </c>
      <c r="CG48" s="6"/>
      <c r="CH48" s="6"/>
      <c r="CI48" s="6"/>
      <c r="CJ48" s="6"/>
      <c r="CK48" s="5" t="str">
        <f>IFERROR(TEXT(VLOOKUP(BW48,[1]faturakaydet!$BW:$CK,MATCH([1]faturakaydet!$CD$31,[1]faturakaydet!$BW$31:$CK$31,0),0),"GG.AA.YYYY"),"")</f>
        <v/>
      </c>
      <c r="CL48" s="5"/>
      <c r="CM48" s="5"/>
      <c r="CN48" s="5"/>
      <c r="CO48" s="5" t="str">
        <f>IFERROR(VLOOKUP(BW48,[1]faturakaydet!$BW:$CK,MATCH([1]faturakaydet!$CF$31,[1]faturakaydet!$BW$31:$CK$31,0),0),"")</f>
        <v/>
      </c>
      <c r="CP48" s="5"/>
      <c r="CQ48" s="5"/>
      <c r="CR48" s="5"/>
      <c r="CS48" s="5"/>
      <c r="CT48" s="5"/>
      <c r="CU48" s="5"/>
      <c r="CV48" s="7" t="str">
        <f>IFERROR(VLOOKUP(BW48,[1]faturakaydet!$BW:$CK,MATCH([1]faturakaydet!$CH$31,[1]faturakaydet!$BW$31:$CK$31,0),0),"")</f>
        <v/>
      </c>
      <c r="CW48" s="7"/>
      <c r="CX48" s="7"/>
      <c r="CY48" s="7"/>
      <c r="CZ48" s="8" t="str">
        <f>IFERROR(VLOOKUP(BW48,[1]faturakaydet!$BW:$CK,MATCH([1]faturakaydet!$CG$31,[1]faturakaydet!$BW$31:$CK$31,0),0),"")</f>
        <v/>
      </c>
      <c r="DA48" s="8"/>
      <c r="DB48" s="8"/>
      <c r="DC48" s="8"/>
      <c r="DD48" s="8"/>
    </row>
    <row r="49" spans="1:108" hidden="1" x14ac:dyDescent="0.3">
      <c r="A49" t="str">
        <f t="shared" si="0"/>
        <v/>
      </c>
      <c r="BW49" t="e">
        <f>COUNTIF($BX$12:BX49,BX49)&amp;BX49</f>
        <v>#REF!</v>
      </c>
      <c r="BX49" t="e">
        <f>#REF!</f>
        <v>#REF!</v>
      </c>
      <c r="CA49" s="5" t="str">
        <f>IFERROR(VLOOKUP(BW49,[1]faturakaydet!$BW:$CK,MATCH([1]faturakaydet!$CA$31,[1]faturakaydet!$BW$31:$CK$31,0),0),"")</f>
        <v/>
      </c>
      <c r="CB49" s="5"/>
      <c r="CC49" s="5" t="str">
        <f>IFERROR(VLOOKUP(BW49,[1]faturakaydet!$BW:$CK,MATCH([1]faturakaydet!$CB$31,[1]faturakaydet!$BW$31:$CK$31,0),0),"")</f>
        <v/>
      </c>
      <c r="CD49" s="5"/>
      <c r="CE49" s="5"/>
      <c r="CF49" s="6" t="str">
        <f>IFERROR(VLOOKUP(BW49,[1]faturakaydet!$BW:$CK,MATCH([1]faturakaydet!$CC$31,[1]faturakaydet!$BW$31:$CK$31,0),0),"")</f>
        <v/>
      </c>
      <c r="CG49" s="6"/>
      <c r="CH49" s="6"/>
      <c r="CI49" s="6"/>
      <c r="CJ49" s="6"/>
      <c r="CK49" s="5" t="str">
        <f>IFERROR(TEXT(VLOOKUP(BW49,[1]faturakaydet!$BW:$CK,MATCH([1]faturakaydet!$CD$31,[1]faturakaydet!$BW$31:$CK$31,0),0),"GG.AA.YYYY"),"")</f>
        <v/>
      </c>
      <c r="CL49" s="5"/>
      <c r="CM49" s="5"/>
      <c r="CN49" s="5"/>
      <c r="CO49" s="5" t="str">
        <f>IFERROR(VLOOKUP(BW49,[1]faturakaydet!$BW:$CK,MATCH([1]faturakaydet!$CF$31,[1]faturakaydet!$BW$31:$CK$31,0),0),"")</f>
        <v/>
      </c>
      <c r="CP49" s="5"/>
      <c r="CQ49" s="5"/>
      <c r="CR49" s="5"/>
      <c r="CS49" s="5"/>
      <c r="CT49" s="5"/>
      <c r="CU49" s="5"/>
      <c r="CV49" s="7" t="str">
        <f>IFERROR(VLOOKUP(BW49,[1]faturakaydet!$BW:$CK,MATCH([1]faturakaydet!$CH$31,[1]faturakaydet!$BW$31:$CK$31,0),0),"")</f>
        <v/>
      </c>
      <c r="CW49" s="7"/>
      <c r="CX49" s="7"/>
      <c r="CY49" s="7"/>
      <c r="CZ49" s="8" t="str">
        <f>IFERROR(VLOOKUP(BW49,[1]faturakaydet!$BW:$CK,MATCH([1]faturakaydet!$CG$31,[1]faturakaydet!$BW$31:$CK$31,0),0),"")</f>
        <v/>
      </c>
      <c r="DA49" s="8"/>
      <c r="DB49" s="8"/>
      <c r="DC49" s="8"/>
      <c r="DD49" s="8"/>
    </row>
    <row r="50" spans="1:108" hidden="1" x14ac:dyDescent="0.3">
      <c r="A50" t="str">
        <f t="shared" si="0"/>
        <v/>
      </c>
      <c r="BW50" t="e">
        <f>COUNTIF($BX$12:BX50,BX50)&amp;BX50</f>
        <v>#REF!</v>
      </c>
      <c r="BX50" t="e">
        <f>#REF!</f>
        <v>#REF!</v>
      </c>
      <c r="CA50" s="5" t="str">
        <f>IFERROR(VLOOKUP(BW50,[1]faturakaydet!$BW:$CK,MATCH([1]faturakaydet!$CA$31,[1]faturakaydet!$BW$31:$CK$31,0),0),"")</f>
        <v/>
      </c>
      <c r="CB50" s="5"/>
      <c r="CC50" s="5" t="str">
        <f>IFERROR(VLOOKUP(BW50,[1]faturakaydet!$BW:$CK,MATCH([1]faturakaydet!$CB$31,[1]faturakaydet!$BW$31:$CK$31,0),0),"")</f>
        <v/>
      </c>
      <c r="CD50" s="5"/>
      <c r="CE50" s="5"/>
      <c r="CF50" s="6" t="str">
        <f>IFERROR(VLOOKUP(BW50,[1]faturakaydet!$BW:$CK,MATCH([1]faturakaydet!$CC$31,[1]faturakaydet!$BW$31:$CK$31,0),0),"")</f>
        <v/>
      </c>
      <c r="CG50" s="6"/>
      <c r="CH50" s="6"/>
      <c r="CI50" s="6"/>
      <c r="CJ50" s="6"/>
      <c r="CK50" s="5" t="str">
        <f>IFERROR(TEXT(VLOOKUP(BW50,[1]faturakaydet!$BW:$CK,MATCH([1]faturakaydet!$CD$31,[1]faturakaydet!$BW$31:$CK$31,0),0),"GG.AA.YYYY"),"")</f>
        <v/>
      </c>
      <c r="CL50" s="5"/>
      <c r="CM50" s="5"/>
      <c r="CN50" s="5"/>
      <c r="CO50" s="5" t="str">
        <f>IFERROR(VLOOKUP(BW50,[1]faturakaydet!$BW:$CK,MATCH([1]faturakaydet!$CF$31,[1]faturakaydet!$BW$31:$CK$31,0),0),"")</f>
        <v/>
      </c>
      <c r="CP50" s="5"/>
      <c r="CQ50" s="5"/>
      <c r="CR50" s="5"/>
      <c r="CS50" s="5"/>
      <c r="CT50" s="5"/>
      <c r="CU50" s="5"/>
      <c r="CV50" s="7" t="str">
        <f>IFERROR(VLOOKUP(BW50,[1]faturakaydet!$BW:$CK,MATCH([1]faturakaydet!$CH$31,[1]faturakaydet!$BW$31:$CK$31,0),0),"")</f>
        <v/>
      </c>
      <c r="CW50" s="7"/>
      <c r="CX50" s="7"/>
      <c r="CY50" s="7"/>
      <c r="CZ50" s="8" t="str">
        <f>IFERROR(VLOOKUP(BW50,[1]faturakaydet!$BW:$CK,MATCH([1]faturakaydet!$CG$31,[1]faturakaydet!$BW$31:$CK$31,0),0),"")</f>
        <v/>
      </c>
      <c r="DA50" s="8"/>
      <c r="DB50" s="8"/>
      <c r="DC50" s="8"/>
      <c r="DD50" s="8"/>
    </row>
    <row r="51" spans="1:108" hidden="1" x14ac:dyDescent="0.3">
      <c r="A51" t="str">
        <f t="shared" si="0"/>
        <v/>
      </c>
      <c r="BW51" t="e">
        <f>COUNTIF($BX$12:BX51,BX51)&amp;BX51</f>
        <v>#REF!</v>
      </c>
      <c r="BX51" t="e">
        <f>#REF!</f>
        <v>#REF!</v>
      </c>
      <c r="CA51" s="5" t="str">
        <f>IFERROR(VLOOKUP(BW51,[1]faturakaydet!$BW:$CK,MATCH([1]faturakaydet!$CA$31,[1]faturakaydet!$BW$31:$CK$31,0),0),"")</f>
        <v/>
      </c>
      <c r="CB51" s="5"/>
      <c r="CC51" s="5" t="str">
        <f>IFERROR(VLOOKUP(BW51,[1]faturakaydet!$BW:$CK,MATCH([1]faturakaydet!$CB$31,[1]faturakaydet!$BW$31:$CK$31,0),0),"")</f>
        <v/>
      </c>
      <c r="CD51" s="5"/>
      <c r="CE51" s="5"/>
      <c r="CF51" s="6" t="str">
        <f>IFERROR(VLOOKUP(BW51,[1]faturakaydet!$BW:$CK,MATCH([1]faturakaydet!$CC$31,[1]faturakaydet!$BW$31:$CK$31,0),0),"")</f>
        <v/>
      </c>
      <c r="CG51" s="6"/>
      <c r="CH51" s="6"/>
      <c r="CI51" s="6"/>
      <c r="CJ51" s="6"/>
      <c r="CK51" s="5" t="str">
        <f>IFERROR(TEXT(VLOOKUP(BW51,[1]faturakaydet!$BW:$CK,MATCH([1]faturakaydet!$CD$31,[1]faturakaydet!$BW$31:$CK$31,0),0),"GG.AA.YYYY"),"")</f>
        <v/>
      </c>
      <c r="CL51" s="5"/>
      <c r="CM51" s="5"/>
      <c r="CN51" s="5"/>
      <c r="CO51" s="5" t="str">
        <f>IFERROR(VLOOKUP(BW51,[1]faturakaydet!$BW:$CK,MATCH([1]faturakaydet!$CF$31,[1]faturakaydet!$BW$31:$CK$31,0),0),"")</f>
        <v/>
      </c>
      <c r="CP51" s="5"/>
      <c r="CQ51" s="5"/>
      <c r="CR51" s="5"/>
      <c r="CS51" s="5"/>
      <c r="CT51" s="5"/>
      <c r="CU51" s="5"/>
      <c r="CV51" s="7" t="str">
        <f>IFERROR(VLOOKUP(BW51,[1]faturakaydet!$BW:$CK,MATCH([1]faturakaydet!$CH$31,[1]faturakaydet!$BW$31:$CK$31,0),0),"")</f>
        <v/>
      </c>
      <c r="CW51" s="7"/>
      <c r="CX51" s="7"/>
      <c r="CY51" s="7"/>
      <c r="CZ51" s="8" t="str">
        <f>IFERROR(VLOOKUP(BW51,[1]faturakaydet!$BW:$CK,MATCH([1]faturakaydet!$CG$31,[1]faturakaydet!$BW$31:$CK$31,0),0),"")</f>
        <v/>
      </c>
      <c r="DA51" s="8"/>
      <c r="DB51" s="8"/>
      <c r="DC51" s="8"/>
      <c r="DD51" s="8"/>
    </row>
    <row r="52" spans="1:108" hidden="1" x14ac:dyDescent="0.3">
      <c r="A52" t="str">
        <f t="shared" si="0"/>
        <v/>
      </c>
      <c r="BW52" t="e">
        <f>COUNTIF($BX$12:BX52,BX52)&amp;BX52</f>
        <v>#REF!</v>
      </c>
      <c r="BX52" t="e">
        <f>#REF!</f>
        <v>#REF!</v>
      </c>
      <c r="CA52" s="5" t="str">
        <f>IFERROR(VLOOKUP(BW52,[1]faturakaydet!$BW:$CK,MATCH([1]faturakaydet!$CA$31,[1]faturakaydet!$BW$31:$CK$31,0),0),"")</f>
        <v/>
      </c>
      <c r="CB52" s="5"/>
      <c r="CC52" s="5" t="str">
        <f>IFERROR(VLOOKUP(BW52,[1]faturakaydet!$BW:$CK,MATCH([1]faturakaydet!$CB$31,[1]faturakaydet!$BW$31:$CK$31,0),0),"")</f>
        <v/>
      </c>
      <c r="CD52" s="5"/>
      <c r="CE52" s="5"/>
      <c r="CF52" s="6" t="str">
        <f>IFERROR(VLOOKUP(BW52,[1]faturakaydet!$BW:$CK,MATCH([1]faturakaydet!$CC$31,[1]faturakaydet!$BW$31:$CK$31,0),0),"")</f>
        <v/>
      </c>
      <c r="CG52" s="6"/>
      <c r="CH52" s="6"/>
      <c r="CI52" s="6"/>
      <c r="CJ52" s="6"/>
      <c r="CK52" s="5" t="str">
        <f>IFERROR(TEXT(VLOOKUP(BW52,[1]faturakaydet!$BW:$CK,MATCH([1]faturakaydet!$CD$31,[1]faturakaydet!$BW$31:$CK$31,0),0),"GG.AA.YYYY"),"")</f>
        <v/>
      </c>
      <c r="CL52" s="5"/>
      <c r="CM52" s="5"/>
      <c r="CN52" s="5"/>
      <c r="CO52" s="5" t="str">
        <f>IFERROR(VLOOKUP(BW52,[1]faturakaydet!$BW:$CK,MATCH([1]faturakaydet!$CF$31,[1]faturakaydet!$BW$31:$CK$31,0),0),"")</f>
        <v/>
      </c>
      <c r="CP52" s="5"/>
      <c r="CQ52" s="5"/>
      <c r="CR52" s="5"/>
      <c r="CS52" s="5"/>
      <c r="CT52" s="5"/>
      <c r="CU52" s="5"/>
      <c r="CV52" s="7" t="str">
        <f>IFERROR(VLOOKUP(BW52,[1]faturakaydet!$BW:$CK,MATCH([1]faturakaydet!$CH$31,[1]faturakaydet!$BW$31:$CK$31,0),0),"")</f>
        <v/>
      </c>
      <c r="CW52" s="7"/>
      <c r="CX52" s="7"/>
      <c r="CY52" s="7"/>
      <c r="CZ52" s="8" t="str">
        <f>IFERROR(VLOOKUP(BW52,[1]faturakaydet!$BW:$CK,MATCH([1]faturakaydet!$CG$31,[1]faturakaydet!$BW$31:$CK$31,0),0),"")</f>
        <v/>
      </c>
      <c r="DA52" s="8"/>
      <c r="DB52" s="8"/>
      <c r="DC52" s="8"/>
      <c r="DD52" s="8"/>
    </row>
    <row r="53" spans="1:108" hidden="1" x14ac:dyDescent="0.3">
      <c r="A53" t="str">
        <f t="shared" si="0"/>
        <v/>
      </c>
      <c r="BW53" t="e">
        <f>COUNTIF($BX$12:BX53,BX53)&amp;BX53</f>
        <v>#REF!</v>
      </c>
      <c r="BX53" t="e">
        <f>#REF!</f>
        <v>#REF!</v>
      </c>
      <c r="CA53" s="5" t="str">
        <f>IFERROR(VLOOKUP(BW53,[1]faturakaydet!$BW:$CK,MATCH([1]faturakaydet!$CA$31,[1]faturakaydet!$BW$31:$CK$31,0),0),"")</f>
        <v/>
      </c>
      <c r="CB53" s="5"/>
      <c r="CC53" s="5" t="str">
        <f>IFERROR(VLOOKUP(BW53,[1]faturakaydet!$BW:$CK,MATCH([1]faturakaydet!$CB$31,[1]faturakaydet!$BW$31:$CK$31,0),0),"")</f>
        <v/>
      </c>
      <c r="CD53" s="5"/>
      <c r="CE53" s="5"/>
      <c r="CF53" s="6" t="str">
        <f>IFERROR(VLOOKUP(BW53,[1]faturakaydet!$BW:$CK,MATCH([1]faturakaydet!$CC$31,[1]faturakaydet!$BW$31:$CK$31,0),0),"")</f>
        <v/>
      </c>
      <c r="CG53" s="6"/>
      <c r="CH53" s="6"/>
      <c r="CI53" s="6"/>
      <c r="CJ53" s="6"/>
      <c r="CK53" s="5" t="str">
        <f>IFERROR(TEXT(VLOOKUP(BW53,[1]faturakaydet!$BW:$CK,MATCH([1]faturakaydet!$CD$31,[1]faturakaydet!$BW$31:$CK$31,0),0),"GG.AA.YYYY"),"")</f>
        <v/>
      </c>
      <c r="CL53" s="5"/>
      <c r="CM53" s="5"/>
      <c r="CN53" s="5"/>
      <c r="CO53" s="5" t="str">
        <f>IFERROR(VLOOKUP(BW53,[1]faturakaydet!$BW:$CK,MATCH([1]faturakaydet!$CF$31,[1]faturakaydet!$BW$31:$CK$31,0),0),"")</f>
        <v/>
      </c>
      <c r="CP53" s="5"/>
      <c r="CQ53" s="5"/>
      <c r="CR53" s="5"/>
      <c r="CS53" s="5"/>
      <c r="CT53" s="5"/>
      <c r="CU53" s="5"/>
      <c r="CV53" s="7" t="str">
        <f>IFERROR(VLOOKUP(BW53,[1]faturakaydet!$BW:$CK,MATCH([1]faturakaydet!$CH$31,[1]faturakaydet!$BW$31:$CK$31,0),0),"")</f>
        <v/>
      </c>
      <c r="CW53" s="7"/>
      <c r="CX53" s="7"/>
      <c r="CY53" s="7"/>
      <c r="CZ53" s="8" t="str">
        <f>IFERROR(VLOOKUP(BW53,[1]faturakaydet!$BW:$CK,MATCH([1]faturakaydet!$CG$31,[1]faturakaydet!$BW$31:$CK$31,0),0),"")</f>
        <v/>
      </c>
      <c r="DA53" s="8"/>
      <c r="DB53" s="8"/>
      <c r="DC53" s="8"/>
      <c r="DD53" s="8"/>
    </row>
    <row r="54" spans="1:108" hidden="1" x14ac:dyDescent="0.3">
      <c r="A54" t="str">
        <f t="shared" si="0"/>
        <v/>
      </c>
      <c r="BW54" t="e">
        <f>COUNTIF($BX$12:BX54,BX54)&amp;BX54</f>
        <v>#REF!</v>
      </c>
      <c r="BX54" t="e">
        <f>#REF!</f>
        <v>#REF!</v>
      </c>
      <c r="CA54" s="5" t="str">
        <f>IFERROR(VLOOKUP(BW54,[1]faturakaydet!$BW:$CK,MATCH([1]faturakaydet!$CA$31,[1]faturakaydet!$BW$31:$CK$31,0),0),"")</f>
        <v/>
      </c>
      <c r="CB54" s="5"/>
      <c r="CC54" s="5" t="str">
        <f>IFERROR(VLOOKUP(BW54,[1]faturakaydet!$BW:$CK,MATCH([1]faturakaydet!$CB$31,[1]faturakaydet!$BW$31:$CK$31,0),0),"")</f>
        <v/>
      </c>
      <c r="CD54" s="5"/>
      <c r="CE54" s="5"/>
      <c r="CF54" s="6" t="str">
        <f>IFERROR(VLOOKUP(BW54,[1]faturakaydet!$BW:$CK,MATCH([1]faturakaydet!$CC$31,[1]faturakaydet!$BW$31:$CK$31,0),0),"")</f>
        <v/>
      </c>
      <c r="CG54" s="6"/>
      <c r="CH54" s="6"/>
      <c r="CI54" s="6"/>
      <c r="CJ54" s="6"/>
      <c r="CK54" s="5" t="str">
        <f>IFERROR(TEXT(VLOOKUP(BW54,[1]faturakaydet!$BW:$CK,MATCH([1]faturakaydet!$CD$31,[1]faturakaydet!$BW$31:$CK$31,0),0),"GG.AA.YYYY"),"")</f>
        <v/>
      </c>
      <c r="CL54" s="5"/>
      <c r="CM54" s="5"/>
      <c r="CN54" s="5"/>
      <c r="CO54" s="5" t="str">
        <f>IFERROR(VLOOKUP(BW54,[1]faturakaydet!$BW:$CK,MATCH([1]faturakaydet!$CF$31,[1]faturakaydet!$BW$31:$CK$31,0),0),"")</f>
        <v/>
      </c>
      <c r="CP54" s="5"/>
      <c r="CQ54" s="5"/>
      <c r="CR54" s="5"/>
      <c r="CS54" s="5"/>
      <c r="CT54" s="5"/>
      <c r="CU54" s="5"/>
      <c r="CV54" s="7" t="str">
        <f>IFERROR(VLOOKUP(BW54,[1]faturakaydet!$BW:$CK,MATCH([1]faturakaydet!$CH$31,[1]faturakaydet!$BW$31:$CK$31,0),0),"")</f>
        <v/>
      </c>
      <c r="CW54" s="7"/>
      <c r="CX54" s="7"/>
      <c r="CY54" s="7"/>
      <c r="CZ54" s="8" t="str">
        <f>IFERROR(VLOOKUP(BW54,[1]faturakaydet!$BW:$CK,MATCH([1]faturakaydet!$CG$31,[1]faturakaydet!$BW$31:$CK$31,0),0),"")</f>
        <v/>
      </c>
      <c r="DA54" s="8"/>
      <c r="DB54" s="8"/>
      <c r="DC54" s="8"/>
      <c r="DD54" s="8"/>
    </row>
    <row r="55" spans="1:108" hidden="1" x14ac:dyDescent="0.3">
      <c r="A55" t="str">
        <f t="shared" si="0"/>
        <v/>
      </c>
      <c r="BW55" t="e">
        <f>COUNTIF($BX$12:BX55,BX55)&amp;BX55</f>
        <v>#REF!</v>
      </c>
      <c r="BX55" t="e">
        <f>#REF!</f>
        <v>#REF!</v>
      </c>
      <c r="CA55" s="5" t="str">
        <f>IFERROR(VLOOKUP(BW55,[1]faturakaydet!$BW:$CK,MATCH([1]faturakaydet!$CA$31,[1]faturakaydet!$BW$31:$CK$31,0),0),"")</f>
        <v/>
      </c>
      <c r="CB55" s="5"/>
      <c r="CC55" s="5" t="str">
        <f>IFERROR(VLOOKUP(BW55,[1]faturakaydet!$BW:$CK,MATCH([1]faturakaydet!$CB$31,[1]faturakaydet!$BW$31:$CK$31,0),0),"")</f>
        <v/>
      </c>
      <c r="CD55" s="5"/>
      <c r="CE55" s="5"/>
      <c r="CF55" s="6" t="str">
        <f>IFERROR(VLOOKUP(BW55,[1]faturakaydet!$BW:$CK,MATCH([1]faturakaydet!$CC$31,[1]faturakaydet!$BW$31:$CK$31,0),0),"")</f>
        <v/>
      </c>
      <c r="CG55" s="6"/>
      <c r="CH55" s="6"/>
      <c r="CI55" s="6"/>
      <c r="CJ55" s="6"/>
      <c r="CK55" s="5" t="str">
        <f>IFERROR(TEXT(VLOOKUP(BW55,[1]faturakaydet!$BW:$CK,MATCH([1]faturakaydet!$CD$31,[1]faturakaydet!$BW$31:$CK$31,0),0),"GG.AA.YYYY"),"")</f>
        <v/>
      </c>
      <c r="CL55" s="5"/>
      <c r="CM55" s="5"/>
      <c r="CN55" s="5"/>
      <c r="CO55" s="5" t="str">
        <f>IFERROR(VLOOKUP(BW55,[1]faturakaydet!$BW:$CK,MATCH([1]faturakaydet!$CF$31,[1]faturakaydet!$BW$31:$CK$31,0),0),"")</f>
        <v/>
      </c>
      <c r="CP55" s="5"/>
      <c r="CQ55" s="5"/>
      <c r="CR55" s="5"/>
      <c r="CS55" s="5"/>
      <c r="CT55" s="5"/>
      <c r="CU55" s="5"/>
      <c r="CV55" s="7" t="str">
        <f>IFERROR(VLOOKUP(BW55,[1]faturakaydet!$BW:$CK,MATCH([1]faturakaydet!$CH$31,[1]faturakaydet!$BW$31:$CK$31,0),0),"")</f>
        <v/>
      </c>
      <c r="CW55" s="7"/>
      <c r="CX55" s="7"/>
      <c r="CY55" s="7"/>
      <c r="CZ55" s="8" t="str">
        <f>IFERROR(VLOOKUP(BW55,[1]faturakaydet!$BW:$CK,MATCH([1]faturakaydet!$CG$31,[1]faturakaydet!$BW$31:$CK$31,0),0),"")</f>
        <v/>
      </c>
      <c r="DA55" s="8"/>
      <c r="DB55" s="8"/>
      <c r="DC55" s="8"/>
      <c r="DD55" s="8"/>
    </row>
    <row r="56" spans="1:108" hidden="1" x14ac:dyDescent="0.3">
      <c r="A56" t="str">
        <f t="shared" si="0"/>
        <v/>
      </c>
      <c r="BW56" t="e">
        <f>COUNTIF($BX$12:BX56,BX56)&amp;BX56</f>
        <v>#REF!</v>
      </c>
      <c r="BX56" t="e">
        <f>#REF!</f>
        <v>#REF!</v>
      </c>
      <c r="CA56" s="5" t="str">
        <f>IFERROR(VLOOKUP(BW56,[1]faturakaydet!$BW:$CK,MATCH([1]faturakaydet!$CA$31,[1]faturakaydet!$BW$31:$CK$31,0),0),"")</f>
        <v/>
      </c>
      <c r="CB56" s="5"/>
      <c r="CC56" s="5" t="str">
        <f>IFERROR(VLOOKUP(BW56,[1]faturakaydet!$BW:$CK,MATCH([1]faturakaydet!$CB$31,[1]faturakaydet!$BW$31:$CK$31,0),0),"")</f>
        <v/>
      </c>
      <c r="CD56" s="5"/>
      <c r="CE56" s="5"/>
      <c r="CF56" s="6" t="str">
        <f>IFERROR(VLOOKUP(BW56,[1]faturakaydet!$BW:$CK,MATCH([1]faturakaydet!$CC$31,[1]faturakaydet!$BW$31:$CK$31,0),0),"")</f>
        <v/>
      </c>
      <c r="CG56" s="6"/>
      <c r="CH56" s="6"/>
      <c r="CI56" s="6"/>
      <c r="CJ56" s="6"/>
      <c r="CK56" s="5" t="str">
        <f>IFERROR(TEXT(VLOOKUP(BW56,[1]faturakaydet!$BW:$CK,MATCH([1]faturakaydet!$CD$31,[1]faturakaydet!$BW$31:$CK$31,0),0),"GG.AA.YYYY"),"")</f>
        <v/>
      </c>
      <c r="CL56" s="5"/>
      <c r="CM56" s="5"/>
      <c r="CN56" s="5"/>
      <c r="CO56" s="5" t="str">
        <f>IFERROR(VLOOKUP(BW56,[1]faturakaydet!$BW:$CK,MATCH([1]faturakaydet!$CF$31,[1]faturakaydet!$BW$31:$CK$31,0),0),"")</f>
        <v/>
      </c>
      <c r="CP56" s="5"/>
      <c r="CQ56" s="5"/>
      <c r="CR56" s="5"/>
      <c r="CS56" s="5"/>
      <c r="CT56" s="5"/>
      <c r="CU56" s="5"/>
      <c r="CV56" s="7" t="str">
        <f>IFERROR(VLOOKUP(BW56,[1]faturakaydet!$BW:$CK,MATCH([1]faturakaydet!$CH$31,[1]faturakaydet!$BW$31:$CK$31,0),0),"")</f>
        <v/>
      </c>
      <c r="CW56" s="7"/>
      <c r="CX56" s="7"/>
      <c r="CY56" s="7"/>
      <c r="CZ56" s="8" t="str">
        <f>IFERROR(VLOOKUP(BW56,[1]faturakaydet!$BW:$CK,MATCH([1]faturakaydet!$CG$31,[1]faturakaydet!$BW$31:$CK$31,0),0),"")</f>
        <v/>
      </c>
      <c r="DA56" s="8"/>
      <c r="DB56" s="8"/>
      <c r="DC56" s="8"/>
      <c r="DD56" s="8"/>
    </row>
    <row r="57" spans="1:108" hidden="1" x14ac:dyDescent="0.3">
      <c r="A57" t="str">
        <f t="shared" si="0"/>
        <v/>
      </c>
      <c r="BW57" t="e">
        <f>COUNTIF($BX$12:BX57,BX57)&amp;BX57</f>
        <v>#REF!</v>
      </c>
      <c r="BX57" t="e">
        <f>#REF!</f>
        <v>#REF!</v>
      </c>
      <c r="CA57" s="5" t="str">
        <f>IFERROR(VLOOKUP(BW57,[1]faturakaydet!$BW:$CK,MATCH([1]faturakaydet!$CA$31,[1]faturakaydet!$BW$31:$CK$31,0),0),"")</f>
        <v/>
      </c>
      <c r="CB57" s="5"/>
      <c r="CC57" s="5" t="str">
        <f>IFERROR(VLOOKUP(BW57,[1]faturakaydet!$BW:$CK,MATCH([1]faturakaydet!$CB$31,[1]faturakaydet!$BW$31:$CK$31,0),0),"")</f>
        <v/>
      </c>
      <c r="CD57" s="5"/>
      <c r="CE57" s="5"/>
      <c r="CF57" s="6" t="str">
        <f>IFERROR(VLOOKUP(BW57,[1]faturakaydet!$BW:$CK,MATCH([1]faturakaydet!$CC$31,[1]faturakaydet!$BW$31:$CK$31,0),0),"")</f>
        <v/>
      </c>
      <c r="CG57" s="6"/>
      <c r="CH57" s="6"/>
      <c r="CI57" s="6"/>
      <c r="CJ57" s="6"/>
      <c r="CK57" s="5" t="str">
        <f>IFERROR(TEXT(VLOOKUP(BW57,[1]faturakaydet!$BW:$CK,MATCH([1]faturakaydet!$CD$31,[1]faturakaydet!$BW$31:$CK$31,0),0),"GG.AA.YYYY"),"")</f>
        <v/>
      </c>
      <c r="CL57" s="5"/>
      <c r="CM57" s="5"/>
      <c r="CN57" s="5"/>
      <c r="CO57" s="5" t="str">
        <f>IFERROR(VLOOKUP(BW57,[1]faturakaydet!$BW:$CK,MATCH([1]faturakaydet!$CF$31,[1]faturakaydet!$BW$31:$CK$31,0),0),"")</f>
        <v/>
      </c>
      <c r="CP57" s="5"/>
      <c r="CQ57" s="5"/>
      <c r="CR57" s="5"/>
      <c r="CS57" s="5"/>
      <c r="CT57" s="5"/>
      <c r="CU57" s="5"/>
      <c r="CV57" s="7" t="str">
        <f>IFERROR(VLOOKUP(BW57,[1]faturakaydet!$BW:$CK,MATCH([1]faturakaydet!$CH$31,[1]faturakaydet!$BW$31:$CK$31,0),0),"")</f>
        <v/>
      </c>
      <c r="CW57" s="7"/>
      <c r="CX57" s="7"/>
      <c r="CY57" s="7"/>
      <c r="CZ57" s="8" t="str">
        <f>IFERROR(VLOOKUP(BW57,[1]faturakaydet!$BW:$CK,MATCH([1]faturakaydet!$CG$31,[1]faturakaydet!$BW$31:$CK$31,0),0),"")</f>
        <v/>
      </c>
      <c r="DA57" s="8"/>
      <c r="DB57" s="8"/>
      <c r="DC57" s="8"/>
      <c r="DD57" s="8"/>
    </row>
    <row r="58" spans="1:108" hidden="1" x14ac:dyDescent="0.3">
      <c r="A58" t="str">
        <f t="shared" si="0"/>
        <v/>
      </c>
      <c r="BW58" t="e">
        <f>COUNTIF($BX$12:BX58,BX58)&amp;BX58</f>
        <v>#REF!</v>
      </c>
      <c r="BX58" t="e">
        <f>#REF!</f>
        <v>#REF!</v>
      </c>
      <c r="CA58" s="5" t="str">
        <f>IFERROR(VLOOKUP(BW58,[1]faturakaydet!$BW:$CK,MATCH([1]faturakaydet!$CA$31,[1]faturakaydet!$BW$31:$CK$31,0),0),"")</f>
        <v/>
      </c>
      <c r="CB58" s="5"/>
      <c r="CC58" s="5" t="str">
        <f>IFERROR(VLOOKUP(BW58,[1]faturakaydet!$BW:$CK,MATCH([1]faturakaydet!$CB$31,[1]faturakaydet!$BW$31:$CK$31,0),0),"")</f>
        <v/>
      </c>
      <c r="CD58" s="5"/>
      <c r="CE58" s="5"/>
      <c r="CF58" s="6" t="str">
        <f>IFERROR(VLOOKUP(BW58,[1]faturakaydet!$BW:$CK,MATCH([1]faturakaydet!$CC$31,[1]faturakaydet!$BW$31:$CK$31,0),0),"")</f>
        <v/>
      </c>
      <c r="CG58" s="6"/>
      <c r="CH58" s="6"/>
      <c r="CI58" s="6"/>
      <c r="CJ58" s="6"/>
      <c r="CK58" s="5" t="str">
        <f>IFERROR(TEXT(VLOOKUP(BW58,[1]faturakaydet!$BW:$CK,MATCH([1]faturakaydet!$CD$31,[1]faturakaydet!$BW$31:$CK$31,0),0),"GG.AA.YYYY"),"")</f>
        <v/>
      </c>
      <c r="CL58" s="5"/>
      <c r="CM58" s="5"/>
      <c r="CN58" s="5"/>
      <c r="CO58" s="5" t="str">
        <f>IFERROR(VLOOKUP(BW58,[1]faturakaydet!$BW:$CK,MATCH([1]faturakaydet!$CF$31,[1]faturakaydet!$BW$31:$CK$31,0),0),"")</f>
        <v/>
      </c>
      <c r="CP58" s="5"/>
      <c r="CQ58" s="5"/>
      <c r="CR58" s="5"/>
      <c r="CS58" s="5"/>
      <c r="CT58" s="5"/>
      <c r="CU58" s="5"/>
      <c r="CV58" s="7" t="str">
        <f>IFERROR(VLOOKUP(BW58,[1]faturakaydet!$BW:$CK,MATCH([1]faturakaydet!$CH$31,[1]faturakaydet!$BW$31:$CK$31,0),0),"")</f>
        <v/>
      </c>
      <c r="CW58" s="7"/>
      <c r="CX58" s="7"/>
      <c r="CY58" s="7"/>
      <c r="CZ58" s="8" t="str">
        <f>IFERROR(VLOOKUP(BW58,[1]faturakaydet!$BW:$CK,MATCH([1]faturakaydet!$CG$31,[1]faturakaydet!$BW$31:$CK$31,0),0),"")</f>
        <v/>
      </c>
      <c r="DA58" s="8"/>
      <c r="DB58" s="8"/>
      <c r="DC58" s="8"/>
      <c r="DD58" s="8"/>
    </row>
    <row r="59" spans="1:108" hidden="1" x14ac:dyDescent="0.3">
      <c r="A59" t="str">
        <f t="shared" si="0"/>
        <v/>
      </c>
      <c r="BW59" t="e">
        <f>COUNTIF($BX$12:BX59,BX59)&amp;BX59</f>
        <v>#REF!</v>
      </c>
      <c r="BX59" t="e">
        <f>#REF!</f>
        <v>#REF!</v>
      </c>
      <c r="CA59" s="5" t="str">
        <f>IFERROR(VLOOKUP(BW59,[1]faturakaydet!$BW:$CK,MATCH([1]faturakaydet!$CA$31,[1]faturakaydet!$BW$31:$CK$31,0),0),"")</f>
        <v/>
      </c>
      <c r="CB59" s="5"/>
      <c r="CC59" s="5" t="str">
        <f>IFERROR(VLOOKUP(BW59,[1]faturakaydet!$BW:$CK,MATCH([1]faturakaydet!$CB$31,[1]faturakaydet!$BW$31:$CK$31,0),0),"")</f>
        <v/>
      </c>
      <c r="CD59" s="5"/>
      <c r="CE59" s="5"/>
      <c r="CF59" s="6" t="str">
        <f>IFERROR(VLOOKUP(BW59,[1]faturakaydet!$BW:$CK,MATCH([1]faturakaydet!$CC$31,[1]faturakaydet!$BW$31:$CK$31,0),0),"")</f>
        <v/>
      </c>
      <c r="CG59" s="6"/>
      <c r="CH59" s="6"/>
      <c r="CI59" s="6"/>
      <c r="CJ59" s="6"/>
      <c r="CK59" s="5" t="str">
        <f>IFERROR(TEXT(VLOOKUP(BW59,[1]faturakaydet!$BW:$CK,MATCH([1]faturakaydet!$CD$31,[1]faturakaydet!$BW$31:$CK$31,0),0),"GG.AA.YYYY"),"")</f>
        <v/>
      </c>
      <c r="CL59" s="5"/>
      <c r="CM59" s="5"/>
      <c r="CN59" s="5"/>
      <c r="CO59" s="5" t="str">
        <f>IFERROR(VLOOKUP(BW59,[1]faturakaydet!$BW:$CK,MATCH([1]faturakaydet!$CF$31,[1]faturakaydet!$BW$31:$CK$31,0),0),"")</f>
        <v/>
      </c>
      <c r="CP59" s="5"/>
      <c r="CQ59" s="5"/>
      <c r="CR59" s="5"/>
      <c r="CS59" s="5"/>
      <c r="CT59" s="5"/>
      <c r="CU59" s="5"/>
      <c r="CV59" s="7" t="str">
        <f>IFERROR(VLOOKUP(BW59,[1]faturakaydet!$BW:$CK,MATCH([1]faturakaydet!$CH$31,[1]faturakaydet!$BW$31:$CK$31,0),0),"")</f>
        <v/>
      </c>
      <c r="CW59" s="7"/>
      <c r="CX59" s="7"/>
      <c r="CY59" s="7"/>
      <c r="CZ59" s="8" t="str">
        <f>IFERROR(VLOOKUP(BW59,[1]faturakaydet!$BW:$CK,MATCH([1]faturakaydet!$CG$31,[1]faturakaydet!$BW$31:$CK$31,0),0),"")</f>
        <v/>
      </c>
      <c r="DA59" s="8"/>
      <c r="DB59" s="8"/>
      <c r="DC59" s="8"/>
      <c r="DD59" s="8"/>
    </row>
    <row r="60" spans="1:108" hidden="1" x14ac:dyDescent="0.3">
      <c r="A60" t="str">
        <f t="shared" si="0"/>
        <v/>
      </c>
      <c r="BW60" t="e">
        <f>COUNTIF($BX$12:BX60,BX60)&amp;BX60</f>
        <v>#REF!</v>
      </c>
      <c r="BX60" t="e">
        <f>#REF!</f>
        <v>#REF!</v>
      </c>
      <c r="CA60" s="5" t="str">
        <f>IFERROR(VLOOKUP(BW60,[1]faturakaydet!$BW:$CK,MATCH([1]faturakaydet!$CA$31,[1]faturakaydet!$BW$31:$CK$31,0),0),"")</f>
        <v/>
      </c>
      <c r="CB60" s="5"/>
      <c r="CC60" s="5" t="str">
        <f>IFERROR(VLOOKUP(BW60,[1]faturakaydet!$BW:$CK,MATCH([1]faturakaydet!$CB$31,[1]faturakaydet!$BW$31:$CK$31,0),0),"")</f>
        <v/>
      </c>
      <c r="CD60" s="5"/>
      <c r="CE60" s="5"/>
      <c r="CF60" s="6" t="str">
        <f>IFERROR(VLOOKUP(BW60,[1]faturakaydet!$BW:$CK,MATCH([1]faturakaydet!$CC$31,[1]faturakaydet!$BW$31:$CK$31,0),0),"")</f>
        <v/>
      </c>
      <c r="CG60" s="6"/>
      <c r="CH60" s="6"/>
      <c r="CI60" s="6"/>
      <c r="CJ60" s="6"/>
      <c r="CK60" s="5" t="str">
        <f>IFERROR(TEXT(VLOOKUP(BW60,[1]faturakaydet!$BW:$CK,MATCH([1]faturakaydet!$CD$31,[1]faturakaydet!$BW$31:$CK$31,0),0),"GG.AA.YYYY"),"")</f>
        <v/>
      </c>
      <c r="CL60" s="5"/>
      <c r="CM60" s="5"/>
      <c r="CN60" s="5"/>
      <c r="CO60" s="5" t="str">
        <f>IFERROR(VLOOKUP(BW60,[1]faturakaydet!$BW:$CK,MATCH([1]faturakaydet!$CF$31,[1]faturakaydet!$BW$31:$CK$31,0),0),"")</f>
        <v/>
      </c>
      <c r="CP60" s="5"/>
      <c r="CQ60" s="5"/>
      <c r="CR60" s="5"/>
      <c r="CS60" s="5"/>
      <c r="CT60" s="5"/>
      <c r="CU60" s="5"/>
      <c r="CV60" s="7" t="str">
        <f>IFERROR(VLOOKUP(BW60,[1]faturakaydet!$BW:$CK,MATCH([1]faturakaydet!$CH$31,[1]faturakaydet!$BW$31:$CK$31,0),0),"")</f>
        <v/>
      </c>
      <c r="CW60" s="7"/>
      <c r="CX60" s="7"/>
      <c r="CY60" s="7"/>
      <c r="CZ60" s="8" t="str">
        <f>IFERROR(VLOOKUP(BW60,[1]faturakaydet!$BW:$CK,MATCH([1]faturakaydet!$CG$31,[1]faturakaydet!$BW$31:$CK$31,0),0),"")</f>
        <v/>
      </c>
      <c r="DA60" s="8"/>
      <c r="DB60" s="8"/>
      <c r="DC60" s="8"/>
      <c r="DD60" s="8"/>
    </row>
    <row r="61" spans="1:108" hidden="1" x14ac:dyDescent="0.3">
      <c r="A61" t="str">
        <f t="shared" si="0"/>
        <v/>
      </c>
      <c r="BW61" t="e">
        <f>COUNTIF($BX$12:BX61,BX61)&amp;BX61</f>
        <v>#REF!</v>
      </c>
      <c r="BX61" t="e">
        <f>#REF!</f>
        <v>#REF!</v>
      </c>
      <c r="CA61" s="5" t="str">
        <f>IFERROR(VLOOKUP(BW61,[1]faturakaydet!$BW:$CK,MATCH([1]faturakaydet!$CA$31,[1]faturakaydet!$BW$31:$CK$31,0),0),"")</f>
        <v/>
      </c>
      <c r="CB61" s="5"/>
      <c r="CC61" s="5" t="str">
        <f>IFERROR(VLOOKUP(BW61,[1]faturakaydet!$BW:$CK,MATCH([1]faturakaydet!$CB$31,[1]faturakaydet!$BW$31:$CK$31,0),0),"")</f>
        <v/>
      </c>
      <c r="CD61" s="5"/>
      <c r="CE61" s="5"/>
      <c r="CF61" s="6" t="str">
        <f>IFERROR(VLOOKUP(BW61,[1]faturakaydet!$BW:$CK,MATCH([1]faturakaydet!$CC$31,[1]faturakaydet!$BW$31:$CK$31,0),0),"")</f>
        <v/>
      </c>
      <c r="CG61" s="6"/>
      <c r="CH61" s="6"/>
      <c r="CI61" s="6"/>
      <c r="CJ61" s="6"/>
      <c r="CK61" s="5" t="str">
        <f>IFERROR(TEXT(VLOOKUP(BW61,[1]faturakaydet!$BW:$CK,MATCH([1]faturakaydet!$CD$31,[1]faturakaydet!$BW$31:$CK$31,0),0),"GG.AA.YYYY"),"")</f>
        <v/>
      </c>
      <c r="CL61" s="5"/>
      <c r="CM61" s="5"/>
      <c r="CN61" s="5"/>
      <c r="CO61" s="5" t="str">
        <f>IFERROR(VLOOKUP(BW61,[1]faturakaydet!$BW:$CK,MATCH([1]faturakaydet!$CF$31,[1]faturakaydet!$BW$31:$CK$31,0),0),"")</f>
        <v/>
      </c>
      <c r="CP61" s="5"/>
      <c r="CQ61" s="5"/>
      <c r="CR61" s="5"/>
      <c r="CS61" s="5"/>
      <c r="CT61" s="5"/>
      <c r="CU61" s="5"/>
      <c r="CV61" s="7" t="str">
        <f>IFERROR(VLOOKUP(BW61,[1]faturakaydet!$BW:$CK,MATCH([1]faturakaydet!$CH$31,[1]faturakaydet!$BW$31:$CK$31,0),0),"")</f>
        <v/>
      </c>
      <c r="CW61" s="7"/>
      <c r="CX61" s="7"/>
      <c r="CY61" s="7"/>
      <c r="CZ61" s="8" t="str">
        <f>IFERROR(VLOOKUP(BW61,[1]faturakaydet!$BW:$CK,MATCH([1]faturakaydet!$CG$31,[1]faturakaydet!$BW$31:$CK$31,0),0),"")</f>
        <v/>
      </c>
      <c r="DA61" s="8"/>
      <c r="DB61" s="8"/>
      <c r="DC61" s="8"/>
      <c r="DD61" s="8"/>
    </row>
    <row r="62" spans="1:108" hidden="1" x14ac:dyDescent="0.3">
      <c r="A62" t="str">
        <f t="shared" si="0"/>
        <v/>
      </c>
      <c r="BW62" t="e">
        <f>COUNTIF($BX$12:BX62,BX62)&amp;BX62</f>
        <v>#REF!</v>
      </c>
      <c r="BX62" t="e">
        <f>#REF!</f>
        <v>#REF!</v>
      </c>
      <c r="CA62" s="5" t="str">
        <f>IFERROR(VLOOKUP(BW62,[1]faturakaydet!$BW:$CK,MATCH([1]faturakaydet!$CA$31,[1]faturakaydet!$BW$31:$CK$31,0),0),"")</f>
        <v/>
      </c>
      <c r="CB62" s="5"/>
      <c r="CC62" s="5" t="str">
        <f>IFERROR(VLOOKUP(BW62,[1]faturakaydet!$BW:$CK,MATCH([1]faturakaydet!$CB$31,[1]faturakaydet!$BW$31:$CK$31,0),0),"")</f>
        <v/>
      </c>
      <c r="CD62" s="5"/>
      <c r="CE62" s="5"/>
      <c r="CF62" s="6" t="str">
        <f>IFERROR(VLOOKUP(BW62,[1]faturakaydet!$BW:$CK,MATCH([1]faturakaydet!$CC$31,[1]faturakaydet!$BW$31:$CK$31,0),0),"")</f>
        <v/>
      </c>
      <c r="CG62" s="6"/>
      <c r="CH62" s="6"/>
      <c r="CI62" s="6"/>
      <c r="CJ62" s="6"/>
      <c r="CK62" s="5" t="str">
        <f>IFERROR(TEXT(VLOOKUP(BW62,[1]faturakaydet!$BW:$CK,MATCH([1]faturakaydet!$CD$31,[1]faturakaydet!$BW$31:$CK$31,0),0),"GG.AA.YYYY"),"")</f>
        <v/>
      </c>
      <c r="CL62" s="5"/>
      <c r="CM62" s="5"/>
      <c r="CN62" s="5"/>
      <c r="CO62" s="5" t="str">
        <f>IFERROR(VLOOKUP(BW62,[1]faturakaydet!$BW:$CK,MATCH([1]faturakaydet!$CF$31,[1]faturakaydet!$BW$31:$CK$31,0),0),"")</f>
        <v/>
      </c>
      <c r="CP62" s="5"/>
      <c r="CQ62" s="5"/>
      <c r="CR62" s="5"/>
      <c r="CS62" s="5"/>
      <c r="CT62" s="5"/>
      <c r="CU62" s="5"/>
      <c r="CV62" s="7" t="str">
        <f>IFERROR(VLOOKUP(BW62,[1]faturakaydet!$BW:$CK,MATCH([1]faturakaydet!$CH$31,[1]faturakaydet!$BW$31:$CK$31,0),0),"")</f>
        <v/>
      </c>
      <c r="CW62" s="7"/>
      <c r="CX62" s="7"/>
      <c r="CY62" s="7"/>
      <c r="CZ62" s="8" t="str">
        <f>IFERROR(VLOOKUP(BW62,[1]faturakaydet!$BW:$CK,MATCH([1]faturakaydet!$CG$31,[1]faturakaydet!$BW$31:$CK$31,0),0),"")</f>
        <v/>
      </c>
      <c r="DA62" s="8"/>
      <c r="DB62" s="8"/>
      <c r="DC62" s="8"/>
      <c r="DD62" s="8"/>
    </row>
    <row r="63" spans="1:108" hidden="1" x14ac:dyDescent="0.3">
      <c r="A63" t="str">
        <f t="shared" si="0"/>
        <v/>
      </c>
      <c r="BW63" t="e">
        <f>COUNTIF($BX$12:BX63,BX63)&amp;BX63</f>
        <v>#REF!</v>
      </c>
      <c r="BX63" t="e">
        <f>#REF!</f>
        <v>#REF!</v>
      </c>
      <c r="CA63" s="5" t="str">
        <f>IFERROR(VLOOKUP(BW63,[1]faturakaydet!$BW:$CK,MATCH([1]faturakaydet!$CA$31,[1]faturakaydet!$BW$31:$CK$31,0),0),"")</f>
        <v/>
      </c>
      <c r="CB63" s="5"/>
      <c r="CC63" s="5" t="str">
        <f>IFERROR(VLOOKUP(BW63,[1]faturakaydet!$BW:$CK,MATCH([1]faturakaydet!$CB$31,[1]faturakaydet!$BW$31:$CK$31,0),0),"")</f>
        <v/>
      </c>
      <c r="CD63" s="5"/>
      <c r="CE63" s="5"/>
      <c r="CF63" s="6" t="str">
        <f>IFERROR(VLOOKUP(BW63,[1]faturakaydet!$BW:$CK,MATCH([1]faturakaydet!$CC$31,[1]faturakaydet!$BW$31:$CK$31,0),0),"")</f>
        <v/>
      </c>
      <c r="CG63" s="6"/>
      <c r="CH63" s="6"/>
      <c r="CI63" s="6"/>
      <c r="CJ63" s="6"/>
      <c r="CK63" s="5" t="str">
        <f>IFERROR(TEXT(VLOOKUP(BW63,[1]faturakaydet!$BW:$CK,MATCH([1]faturakaydet!$CD$31,[1]faturakaydet!$BW$31:$CK$31,0),0),"GG.AA.YYYY"),"")</f>
        <v/>
      </c>
      <c r="CL63" s="5"/>
      <c r="CM63" s="5"/>
      <c r="CN63" s="5"/>
      <c r="CO63" s="5" t="str">
        <f>IFERROR(VLOOKUP(BW63,[1]faturakaydet!$BW:$CK,MATCH([1]faturakaydet!$CF$31,[1]faturakaydet!$BW$31:$CK$31,0),0),"")</f>
        <v/>
      </c>
      <c r="CP63" s="5"/>
      <c r="CQ63" s="5"/>
      <c r="CR63" s="5"/>
      <c r="CS63" s="5"/>
      <c r="CT63" s="5"/>
      <c r="CU63" s="5"/>
      <c r="CV63" s="7" t="str">
        <f>IFERROR(VLOOKUP(BW63,[1]faturakaydet!$BW:$CK,MATCH([1]faturakaydet!$CH$31,[1]faturakaydet!$BW$31:$CK$31,0),0),"")</f>
        <v/>
      </c>
      <c r="CW63" s="7"/>
      <c r="CX63" s="7"/>
      <c r="CY63" s="7"/>
      <c r="CZ63" s="8" t="str">
        <f>IFERROR(VLOOKUP(BW63,[1]faturakaydet!$BW:$CK,MATCH([1]faturakaydet!$CG$31,[1]faturakaydet!$BW$31:$CK$31,0),0),"")</f>
        <v/>
      </c>
      <c r="DA63" s="8"/>
      <c r="DB63" s="8"/>
      <c r="DC63" s="8"/>
      <c r="DD63" s="8"/>
    </row>
    <row r="64" spans="1:108" hidden="1" x14ac:dyDescent="0.3">
      <c r="A64" t="str">
        <f t="shared" si="0"/>
        <v/>
      </c>
      <c r="BW64" t="e">
        <f>COUNTIF($BX$12:BX64,BX64)&amp;BX64</f>
        <v>#REF!</v>
      </c>
      <c r="BX64" t="e">
        <f>#REF!</f>
        <v>#REF!</v>
      </c>
      <c r="CA64" s="5" t="str">
        <f>IFERROR(VLOOKUP(BW64,[1]faturakaydet!$BW:$CK,MATCH([1]faturakaydet!$CA$31,[1]faturakaydet!$BW$31:$CK$31,0),0),"")</f>
        <v/>
      </c>
      <c r="CB64" s="5"/>
      <c r="CC64" s="5" t="str">
        <f>IFERROR(VLOOKUP(BW64,[1]faturakaydet!$BW:$CK,MATCH([1]faturakaydet!$CB$31,[1]faturakaydet!$BW$31:$CK$31,0),0),"")</f>
        <v/>
      </c>
      <c r="CD64" s="5"/>
      <c r="CE64" s="5"/>
      <c r="CF64" s="6" t="str">
        <f>IFERROR(VLOOKUP(BW64,[1]faturakaydet!$BW:$CK,MATCH([1]faturakaydet!$CC$31,[1]faturakaydet!$BW$31:$CK$31,0),0),"")</f>
        <v/>
      </c>
      <c r="CG64" s="6"/>
      <c r="CH64" s="6"/>
      <c r="CI64" s="6"/>
      <c r="CJ64" s="6"/>
      <c r="CK64" s="5" t="str">
        <f>IFERROR(TEXT(VLOOKUP(BW64,[1]faturakaydet!$BW:$CK,MATCH([1]faturakaydet!$CD$31,[1]faturakaydet!$BW$31:$CK$31,0),0),"GG.AA.YYYY"),"")</f>
        <v/>
      </c>
      <c r="CL64" s="5"/>
      <c r="CM64" s="5"/>
      <c r="CN64" s="5"/>
      <c r="CO64" s="5" t="str">
        <f>IFERROR(VLOOKUP(BW64,[1]faturakaydet!$BW:$CK,MATCH([1]faturakaydet!$CF$31,[1]faturakaydet!$BW$31:$CK$31,0),0),"")</f>
        <v/>
      </c>
      <c r="CP64" s="5"/>
      <c r="CQ64" s="5"/>
      <c r="CR64" s="5"/>
      <c r="CS64" s="5"/>
      <c r="CT64" s="5"/>
      <c r="CU64" s="5"/>
      <c r="CV64" s="7" t="str">
        <f>IFERROR(VLOOKUP(BW64,[1]faturakaydet!$BW:$CK,MATCH([1]faturakaydet!$CH$31,[1]faturakaydet!$BW$31:$CK$31,0),0),"")</f>
        <v/>
      </c>
      <c r="CW64" s="7"/>
      <c r="CX64" s="7"/>
      <c r="CY64" s="7"/>
      <c r="CZ64" s="8" t="str">
        <f>IFERROR(VLOOKUP(BW64,[1]faturakaydet!$BW:$CK,MATCH([1]faturakaydet!$CG$31,[1]faturakaydet!$BW$31:$CK$31,0),0),"")</f>
        <v/>
      </c>
      <c r="DA64" s="8"/>
      <c r="DB64" s="8"/>
      <c r="DC64" s="8"/>
      <c r="DD64" s="8"/>
    </row>
    <row r="65" spans="1:108" hidden="1" x14ac:dyDescent="0.3">
      <c r="A65" t="str">
        <f t="shared" si="0"/>
        <v/>
      </c>
      <c r="BW65" t="e">
        <f>COUNTIF($BX$12:BX65,BX65)&amp;BX65</f>
        <v>#REF!</v>
      </c>
      <c r="BX65" t="e">
        <f>#REF!</f>
        <v>#REF!</v>
      </c>
      <c r="CA65" s="5" t="str">
        <f>IFERROR(VLOOKUP(BW65,[1]faturakaydet!$BW:$CK,MATCH([1]faturakaydet!$CA$31,[1]faturakaydet!$BW$31:$CK$31,0),0),"")</f>
        <v/>
      </c>
      <c r="CB65" s="5"/>
      <c r="CC65" s="5" t="str">
        <f>IFERROR(VLOOKUP(BW65,[1]faturakaydet!$BW:$CK,MATCH([1]faturakaydet!$CB$31,[1]faturakaydet!$BW$31:$CK$31,0),0),"")</f>
        <v/>
      </c>
      <c r="CD65" s="5"/>
      <c r="CE65" s="5"/>
      <c r="CF65" s="6" t="str">
        <f>IFERROR(VLOOKUP(BW65,[1]faturakaydet!$BW:$CK,MATCH([1]faturakaydet!$CC$31,[1]faturakaydet!$BW$31:$CK$31,0),0),"")</f>
        <v/>
      </c>
      <c r="CG65" s="6"/>
      <c r="CH65" s="6"/>
      <c r="CI65" s="6"/>
      <c r="CJ65" s="6"/>
      <c r="CK65" s="5" t="str">
        <f>IFERROR(TEXT(VLOOKUP(BW65,[1]faturakaydet!$BW:$CK,MATCH([1]faturakaydet!$CD$31,[1]faturakaydet!$BW$31:$CK$31,0),0),"GG.AA.YYYY"),"")</f>
        <v/>
      </c>
      <c r="CL65" s="5"/>
      <c r="CM65" s="5"/>
      <c r="CN65" s="5"/>
      <c r="CO65" s="5" t="str">
        <f>IFERROR(VLOOKUP(BW65,[1]faturakaydet!$BW:$CK,MATCH([1]faturakaydet!$CF$31,[1]faturakaydet!$BW$31:$CK$31,0),0),"")</f>
        <v/>
      </c>
      <c r="CP65" s="5"/>
      <c r="CQ65" s="5"/>
      <c r="CR65" s="5"/>
      <c r="CS65" s="5"/>
      <c r="CT65" s="5"/>
      <c r="CU65" s="5"/>
      <c r="CV65" s="7" t="str">
        <f>IFERROR(VLOOKUP(BW65,[1]faturakaydet!$BW:$CK,MATCH([1]faturakaydet!$CH$31,[1]faturakaydet!$BW$31:$CK$31,0),0),"")</f>
        <v/>
      </c>
      <c r="CW65" s="7"/>
      <c r="CX65" s="7"/>
      <c r="CY65" s="7"/>
      <c r="CZ65" s="8" t="str">
        <f>IFERROR(VLOOKUP(BW65,[1]faturakaydet!$BW:$CK,MATCH([1]faturakaydet!$CG$31,[1]faturakaydet!$BW$31:$CK$31,0),0),"")</f>
        <v/>
      </c>
      <c r="DA65" s="8"/>
      <c r="DB65" s="8"/>
      <c r="DC65" s="8"/>
      <c r="DD65" s="8"/>
    </row>
    <row r="66" spans="1:108" hidden="1" x14ac:dyDescent="0.3">
      <c r="A66" t="str">
        <f t="shared" si="0"/>
        <v/>
      </c>
      <c r="BW66" t="e">
        <f>COUNTIF($BX$12:BX66,BX66)&amp;BX66</f>
        <v>#REF!</v>
      </c>
      <c r="BX66" t="e">
        <f>#REF!</f>
        <v>#REF!</v>
      </c>
      <c r="CA66" s="5" t="str">
        <f>IFERROR(VLOOKUP(BW66,[1]faturakaydet!$BW:$CK,MATCH([1]faturakaydet!$CA$31,[1]faturakaydet!$BW$31:$CK$31,0),0),"")</f>
        <v/>
      </c>
      <c r="CB66" s="5"/>
      <c r="CC66" s="5" t="str">
        <f>IFERROR(VLOOKUP(BW66,[1]faturakaydet!$BW:$CK,MATCH([1]faturakaydet!$CB$31,[1]faturakaydet!$BW$31:$CK$31,0),0),"")</f>
        <v/>
      </c>
      <c r="CD66" s="5"/>
      <c r="CE66" s="5"/>
      <c r="CF66" s="6" t="str">
        <f>IFERROR(VLOOKUP(BW66,[1]faturakaydet!$BW:$CK,MATCH([1]faturakaydet!$CC$31,[1]faturakaydet!$BW$31:$CK$31,0),0),"")</f>
        <v/>
      </c>
      <c r="CG66" s="6"/>
      <c r="CH66" s="6"/>
      <c r="CI66" s="6"/>
      <c r="CJ66" s="6"/>
      <c r="CK66" s="5" t="str">
        <f>IFERROR(TEXT(VLOOKUP(BW66,[1]faturakaydet!$BW:$CK,MATCH([1]faturakaydet!$CD$31,[1]faturakaydet!$BW$31:$CK$31,0),0),"GG.AA.YYYY"),"")</f>
        <v/>
      </c>
      <c r="CL66" s="5"/>
      <c r="CM66" s="5"/>
      <c r="CN66" s="5"/>
      <c r="CO66" s="5" t="str">
        <f>IFERROR(VLOOKUP(BW66,[1]faturakaydet!$BW:$CK,MATCH([1]faturakaydet!$CF$31,[1]faturakaydet!$BW$31:$CK$31,0),0),"")</f>
        <v/>
      </c>
      <c r="CP66" s="5"/>
      <c r="CQ66" s="5"/>
      <c r="CR66" s="5"/>
      <c r="CS66" s="5"/>
      <c r="CT66" s="5"/>
      <c r="CU66" s="5"/>
      <c r="CV66" s="7" t="str">
        <f>IFERROR(VLOOKUP(BW66,[1]faturakaydet!$BW:$CK,MATCH([1]faturakaydet!$CH$31,[1]faturakaydet!$BW$31:$CK$31,0),0),"")</f>
        <v/>
      </c>
      <c r="CW66" s="7"/>
      <c r="CX66" s="7"/>
      <c r="CY66" s="7"/>
      <c r="CZ66" s="8" t="str">
        <f>IFERROR(VLOOKUP(BW66,[1]faturakaydet!$BW:$CK,MATCH([1]faturakaydet!$CG$31,[1]faturakaydet!$BW$31:$CK$31,0),0),"")</f>
        <v/>
      </c>
      <c r="DA66" s="8"/>
      <c r="DB66" s="8"/>
      <c r="DC66" s="8"/>
      <c r="DD66" s="8"/>
    </row>
    <row r="67" spans="1:108" hidden="1" x14ac:dyDescent="0.3">
      <c r="A67" t="str">
        <f t="shared" si="0"/>
        <v/>
      </c>
      <c r="BW67" t="e">
        <f>COUNTIF($BX$12:BX67,BX67)&amp;BX67</f>
        <v>#REF!</v>
      </c>
      <c r="BX67" t="e">
        <f>#REF!</f>
        <v>#REF!</v>
      </c>
      <c r="CA67" s="5" t="str">
        <f>IFERROR(VLOOKUP(BW67,[1]faturakaydet!$BW:$CK,MATCH([1]faturakaydet!$CA$31,[1]faturakaydet!$BW$31:$CK$31,0),0),"")</f>
        <v/>
      </c>
      <c r="CB67" s="5"/>
      <c r="CC67" s="5" t="str">
        <f>IFERROR(VLOOKUP(BW67,[1]faturakaydet!$BW:$CK,MATCH([1]faturakaydet!$CB$31,[1]faturakaydet!$BW$31:$CK$31,0),0),"")</f>
        <v/>
      </c>
      <c r="CD67" s="5"/>
      <c r="CE67" s="5"/>
      <c r="CF67" s="6" t="str">
        <f>IFERROR(VLOOKUP(BW67,[1]faturakaydet!$BW:$CK,MATCH([1]faturakaydet!$CC$31,[1]faturakaydet!$BW$31:$CK$31,0),0),"")</f>
        <v/>
      </c>
      <c r="CG67" s="6"/>
      <c r="CH67" s="6"/>
      <c r="CI67" s="6"/>
      <c r="CJ67" s="6"/>
      <c r="CK67" s="5" t="str">
        <f>IFERROR(TEXT(VLOOKUP(BW67,[1]faturakaydet!$BW:$CK,MATCH([1]faturakaydet!$CD$31,[1]faturakaydet!$BW$31:$CK$31,0),0),"GG.AA.YYYY"),"")</f>
        <v/>
      </c>
      <c r="CL67" s="5"/>
      <c r="CM67" s="5"/>
      <c r="CN67" s="5"/>
      <c r="CO67" s="5" t="str">
        <f>IFERROR(VLOOKUP(BW67,[1]faturakaydet!$BW:$CK,MATCH([1]faturakaydet!$CF$31,[1]faturakaydet!$BW$31:$CK$31,0),0),"")</f>
        <v/>
      </c>
      <c r="CP67" s="5"/>
      <c r="CQ67" s="5"/>
      <c r="CR67" s="5"/>
      <c r="CS67" s="5"/>
      <c r="CT67" s="5"/>
      <c r="CU67" s="5"/>
      <c r="CV67" s="7" t="str">
        <f>IFERROR(VLOOKUP(BW67,[1]faturakaydet!$BW:$CK,MATCH([1]faturakaydet!$CH$31,[1]faturakaydet!$BW$31:$CK$31,0),0),"")</f>
        <v/>
      </c>
      <c r="CW67" s="7"/>
      <c r="CX67" s="7"/>
      <c r="CY67" s="7"/>
      <c r="CZ67" s="8" t="str">
        <f>IFERROR(VLOOKUP(BW67,[1]faturakaydet!$BW:$CK,MATCH([1]faturakaydet!$CG$31,[1]faturakaydet!$BW$31:$CK$31,0),0),"")</f>
        <v/>
      </c>
      <c r="DA67" s="8"/>
      <c r="DB67" s="8"/>
      <c r="DC67" s="8"/>
      <c r="DD67" s="8"/>
    </row>
    <row r="68" spans="1:108" hidden="1" x14ac:dyDescent="0.3">
      <c r="A68" t="str">
        <f t="shared" si="0"/>
        <v/>
      </c>
      <c r="BW68" t="e">
        <f>COUNTIF($BX$12:BX68,BX68)&amp;BX68</f>
        <v>#REF!</v>
      </c>
      <c r="BX68" t="e">
        <f>#REF!</f>
        <v>#REF!</v>
      </c>
      <c r="CA68" s="5" t="str">
        <f>IFERROR(VLOOKUP(BW68,[1]faturakaydet!$BW:$CK,MATCH([1]faturakaydet!$CA$31,[1]faturakaydet!$BW$31:$CK$31,0),0),"")</f>
        <v/>
      </c>
      <c r="CB68" s="5"/>
      <c r="CC68" s="5" t="str">
        <f>IFERROR(VLOOKUP(BW68,[1]faturakaydet!$BW:$CK,MATCH([1]faturakaydet!$CB$31,[1]faturakaydet!$BW$31:$CK$31,0),0),"")</f>
        <v/>
      </c>
      <c r="CD68" s="5"/>
      <c r="CE68" s="5"/>
      <c r="CF68" s="6" t="str">
        <f>IFERROR(VLOOKUP(BW68,[1]faturakaydet!$BW:$CK,MATCH([1]faturakaydet!$CC$31,[1]faturakaydet!$BW$31:$CK$31,0),0),"")</f>
        <v/>
      </c>
      <c r="CG68" s="6"/>
      <c r="CH68" s="6"/>
      <c r="CI68" s="6"/>
      <c r="CJ68" s="6"/>
      <c r="CK68" s="5" t="str">
        <f>IFERROR(TEXT(VLOOKUP(BW68,[1]faturakaydet!$BW:$CK,MATCH([1]faturakaydet!$CD$31,[1]faturakaydet!$BW$31:$CK$31,0),0),"GG.AA.YYYY"),"")</f>
        <v/>
      </c>
      <c r="CL68" s="5"/>
      <c r="CM68" s="5"/>
      <c r="CN68" s="5"/>
      <c r="CO68" s="5" t="str">
        <f>IFERROR(VLOOKUP(BW68,[1]faturakaydet!$BW:$CK,MATCH([1]faturakaydet!$CF$31,[1]faturakaydet!$BW$31:$CK$31,0),0),"")</f>
        <v/>
      </c>
      <c r="CP68" s="5"/>
      <c r="CQ68" s="5"/>
      <c r="CR68" s="5"/>
      <c r="CS68" s="5"/>
      <c r="CT68" s="5"/>
      <c r="CU68" s="5"/>
      <c r="CV68" s="7" t="str">
        <f>IFERROR(VLOOKUP(BW68,[1]faturakaydet!$BW:$CK,MATCH([1]faturakaydet!$CH$31,[1]faturakaydet!$BW$31:$CK$31,0),0),"")</f>
        <v/>
      </c>
      <c r="CW68" s="7"/>
      <c r="CX68" s="7"/>
      <c r="CY68" s="7"/>
      <c r="CZ68" s="8" t="str">
        <f>IFERROR(VLOOKUP(BW68,[1]faturakaydet!$BW:$CK,MATCH([1]faturakaydet!$CG$31,[1]faturakaydet!$BW$31:$CK$31,0),0),"")</f>
        <v/>
      </c>
      <c r="DA68" s="8"/>
      <c r="DB68" s="8"/>
      <c r="DC68" s="8"/>
      <c r="DD68" s="8"/>
    </row>
    <row r="69" spans="1:108" hidden="1" x14ac:dyDescent="0.3">
      <c r="A69" t="str">
        <f t="shared" si="0"/>
        <v/>
      </c>
      <c r="BW69" t="e">
        <f>COUNTIF($BX$12:BX69,BX69)&amp;BX69</f>
        <v>#REF!</v>
      </c>
      <c r="BX69" t="e">
        <f>#REF!</f>
        <v>#REF!</v>
      </c>
      <c r="CA69" s="5" t="str">
        <f>IFERROR(VLOOKUP(BW69,[1]faturakaydet!$BW:$CK,MATCH([1]faturakaydet!$CA$31,[1]faturakaydet!$BW$31:$CK$31,0),0),"")</f>
        <v/>
      </c>
      <c r="CB69" s="5"/>
      <c r="CC69" s="5" t="str">
        <f>IFERROR(VLOOKUP(BW69,[1]faturakaydet!$BW:$CK,MATCH([1]faturakaydet!$CB$31,[1]faturakaydet!$BW$31:$CK$31,0),0),"")</f>
        <v/>
      </c>
      <c r="CD69" s="5"/>
      <c r="CE69" s="5"/>
      <c r="CF69" s="6" t="str">
        <f>IFERROR(VLOOKUP(BW69,[1]faturakaydet!$BW:$CK,MATCH([1]faturakaydet!$CC$31,[1]faturakaydet!$BW$31:$CK$31,0),0),"")</f>
        <v/>
      </c>
      <c r="CG69" s="6"/>
      <c r="CH69" s="6"/>
      <c r="CI69" s="6"/>
      <c r="CJ69" s="6"/>
      <c r="CK69" s="5" t="str">
        <f>IFERROR(TEXT(VLOOKUP(BW69,[1]faturakaydet!$BW:$CK,MATCH([1]faturakaydet!$CD$31,[1]faturakaydet!$BW$31:$CK$31,0),0),"GG.AA.YYYY"),"")</f>
        <v/>
      </c>
      <c r="CL69" s="5"/>
      <c r="CM69" s="5"/>
      <c r="CN69" s="5"/>
      <c r="CO69" s="5" t="str">
        <f>IFERROR(VLOOKUP(BW69,[1]faturakaydet!$BW:$CK,MATCH([1]faturakaydet!$CF$31,[1]faturakaydet!$BW$31:$CK$31,0),0),"")</f>
        <v/>
      </c>
      <c r="CP69" s="5"/>
      <c r="CQ69" s="5"/>
      <c r="CR69" s="5"/>
      <c r="CS69" s="5"/>
      <c r="CT69" s="5"/>
      <c r="CU69" s="5"/>
      <c r="CV69" s="7" t="str">
        <f>IFERROR(VLOOKUP(BW69,[1]faturakaydet!$BW:$CK,MATCH([1]faturakaydet!$CH$31,[1]faturakaydet!$BW$31:$CK$31,0),0),"")</f>
        <v/>
      </c>
      <c r="CW69" s="7"/>
      <c r="CX69" s="7"/>
      <c r="CY69" s="7"/>
      <c r="CZ69" s="8" t="str">
        <f>IFERROR(VLOOKUP(BW69,[1]faturakaydet!$BW:$CK,MATCH([1]faturakaydet!$CG$31,[1]faturakaydet!$BW$31:$CK$31,0),0),"")</f>
        <v/>
      </c>
      <c r="DA69" s="8"/>
      <c r="DB69" s="8"/>
      <c r="DC69" s="8"/>
      <c r="DD69" s="8"/>
    </row>
    <row r="70" spans="1:108" hidden="1" x14ac:dyDescent="0.3">
      <c r="A70" t="str">
        <f t="shared" si="0"/>
        <v/>
      </c>
      <c r="BW70" t="e">
        <f>COUNTIF($BX$12:BX70,BX70)&amp;BX70</f>
        <v>#REF!</v>
      </c>
      <c r="BX70" t="e">
        <f>#REF!</f>
        <v>#REF!</v>
      </c>
      <c r="CA70" s="5" t="str">
        <f>IFERROR(VLOOKUP(BW70,[1]faturakaydet!$BW:$CK,MATCH([1]faturakaydet!$CA$31,[1]faturakaydet!$BW$31:$CK$31,0),0),"")</f>
        <v/>
      </c>
      <c r="CB70" s="5"/>
      <c r="CC70" s="5" t="str">
        <f>IFERROR(VLOOKUP(BW70,[1]faturakaydet!$BW:$CK,MATCH([1]faturakaydet!$CB$31,[1]faturakaydet!$BW$31:$CK$31,0),0),"")</f>
        <v/>
      </c>
      <c r="CD70" s="5"/>
      <c r="CE70" s="5"/>
      <c r="CF70" s="6" t="str">
        <f>IFERROR(VLOOKUP(BW70,[1]faturakaydet!$BW:$CK,MATCH([1]faturakaydet!$CC$31,[1]faturakaydet!$BW$31:$CK$31,0),0),"")</f>
        <v/>
      </c>
      <c r="CG70" s="6"/>
      <c r="CH70" s="6"/>
      <c r="CI70" s="6"/>
      <c r="CJ70" s="6"/>
      <c r="CK70" s="5" t="str">
        <f>IFERROR(TEXT(VLOOKUP(BW70,[1]faturakaydet!$BW:$CK,MATCH([1]faturakaydet!$CD$31,[1]faturakaydet!$BW$31:$CK$31,0),0),"GG.AA.YYYY"),"")</f>
        <v/>
      </c>
      <c r="CL70" s="5"/>
      <c r="CM70" s="5"/>
      <c r="CN70" s="5"/>
      <c r="CO70" s="5" t="str">
        <f>IFERROR(VLOOKUP(BW70,[1]faturakaydet!$BW:$CK,MATCH([1]faturakaydet!$CF$31,[1]faturakaydet!$BW$31:$CK$31,0),0),"")</f>
        <v/>
      </c>
      <c r="CP70" s="5"/>
      <c r="CQ70" s="5"/>
      <c r="CR70" s="5"/>
      <c r="CS70" s="5"/>
      <c r="CT70" s="5"/>
      <c r="CU70" s="5"/>
      <c r="CV70" s="7" t="str">
        <f>IFERROR(VLOOKUP(BW70,[1]faturakaydet!$BW:$CK,MATCH([1]faturakaydet!$CH$31,[1]faturakaydet!$BW$31:$CK$31,0),0),"")</f>
        <v/>
      </c>
      <c r="CW70" s="7"/>
      <c r="CX70" s="7"/>
      <c r="CY70" s="7"/>
      <c r="CZ70" s="8" t="str">
        <f>IFERROR(VLOOKUP(BW70,[1]faturakaydet!$BW:$CK,MATCH([1]faturakaydet!$CG$31,[1]faturakaydet!$BW$31:$CK$31,0),0),"")</f>
        <v/>
      </c>
      <c r="DA70" s="8"/>
      <c r="DB70" s="8"/>
      <c r="DC70" s="8"/>
      <c r="DD70" s="8"/>
    </row>
    <row r="71" spans="1:108" hidden="1" x14ac:dyDescent="0.3">
      <c r="A71" t="str">
        <f t="shared" si="0"/>
        <v/>
      </c>
      <c r="BW71" t="e">
        <f>COUNTIF($BX$12:BX71,BX71)&amp;BX71</f>
        <v>#REF!</v>
      </c>
      <c r="BX71" t="e">
        <f>#REF!</f>
        <v>#REF!</v>
      </c>
      <c r="CA71" s="5" t="str">
        <f>IFERROR(VLOOKUP(BW71,[1]faturakaydet!$BW:$CK,MATCH([1]faturakaydet!$CA$31,[1]faturakaydet!$BW$31:$CK$31,0),0),"")</f>
        <v/>
      </c>
      <c r="CB71" s="5"/>
      <c r="CC71" s="5" t="str">
        <f>IFERROR(VLOOKUP(BW71,[1]faturakaydet!$BW:$CK,MATCH([1]faturakaydet!$CB$31,[1]faturakaydet!$BW$31:$CK$31,0),0),"")</f>
        <v/>
      </c>
      <c r="CD71" s="5"/>
      <c r="CE71" s="5"/>
      <c r="CF71" s="6" t="str">
        <f>IFERROR(VLOOKUP(BW71,[1]faturakaydet!$BW:$CK,MATCH([1]faturakaydet!$CC$31,[1]faturakaydet!$BW$31:$CK$31,0),0),"")</f>
        <v/>
      </c>
      <c r="CG71" s="6"/>
      <c r="CH71" s="6"/>
      <c r="CI71" s="6"/>
      <c r="CJ71" s="6"/>
      <c r="CK71" s="5" t="str">
        <f>IFERROR(TEXT(VLOOKUP(BW71,[1]faturakaydet!$BW:$CK,MATCH([1]faturakaydet!$CD$31,[1]faturakaydet!$BW$31:$CK$31,0),0),"GG.AA.YYYY"),"")</f>
        <v/>
      </c>
      <c r="CL71" s="5"/>
      <c r="CM71" s="5"/>
      <c r="CN71" s="5"/>
      <c r="CO71" s="5" t="str">
        <f>IFERROR(VLOOKUP(BW71,[1]faturakaydet!$BW:$CK,MATCH([1]faturakaydet!$CF$31,[1]faturakaydet!$BW$31:$CK$31,0),0),"")</f>
        <v/>
      </c>
      <c r="CP71" s="5"/>
      <c r="CQ71" s="5"/>
      <c r="CR71" s="5"/>
      <c r="CS71" s="5"/>
      <c r="CT71" s="5"/>
      <c r="CU71" s="5"/>
      <c r="CV71" s="7" t="str">
        <f>IFERROR(VLOOKUP(BW71,[1]faturakaydet!$BW:$CK,MATCH([1]faturakaydet!$CH$31,[1]faturakaydet!$BW$31:$CK$31,0),0),"")</f>
        <v/>
      </c>
      <c r="CW71" s="7"/>
      <c r="CX71" s="7"/>
      <c r="CY71" s="7"/>
      <c r="CZ71" s="8" t="str">
        <f>IFERROR(VLOOKUP(BW71,[1]faturakaydet!$BW:$CK,MATCH([1]faturakaydet!$CG$31,[1]faturakaydet!$BW$31:$CK$31,0),0),"")</f>
        <v/>
      </c>
      <c r="DA71" s="8"/>
      <c r="DB71" s="8"/>
      <c r="DC71" s="8"/>
      <c r="DD71" s="8"/>
    </row>
    <row r="72" spans="1:108" hidden="1" x14ac:dyDescent="0.3">
      <c r="A72" t="str">
        <f t="shared" si="0"/>
        <v/>
      </c>
      <c r="BW72" t="e">
        <f>COUNTIF($BX$12:BX72,BX72)&amp;BX72</f>
        <v>#REF!</v>
      </c>
      <c r="BX72" t="e">
        <f>#REF!</f>
        <v>#REF!</v>
      </c>
      <c r="CA72" s="5" t="str">
        <f>IFERROR(VLOOKUP(BW72,[1]faturakaydet!$BW:$CK,MATCH([1]faturakaydet!$CA$31,[1]faturakaydet!$BW$31:$CK$31,0),0),"")</f>
        <v/>
      </c>
      <c r="CB72" s="5"/>
      <c r="CC72" s="5" t="str">
        <f>IFERROR(VLOOKUP(BW72,[1]faturakaydet!$BW:$CK,MATCH([1]faturakaydet!$CB$31,[1]faturakaydet!$BW$31:$CK$31,0),0),"")</f>
        <v/>
      </c>
      <c r="CD72" s="5"/>
      <c r="CE72" s="5"/>
      <c r="CF72" s="6" t="str">
        <f>IFERROR(VLOOKUP(BW72,[1]faturakaydet!$BW:$CK,MATCH([1]faturakaydet!$CC$31,[1]faturakaydet!$BW$31:$CK$31,0),0),"")</f>
        <v/>
      </c>
      <c r="CG72" s="6"/>
      <c r="CH72" s="6"/>
      <c r="CI72" s="6"/>
      <c r="CJ72" s="6"/>
      <c r="CK72" s="5" t="str">
        <f>IFERROR(TEXT(VLOOKUP(BW72,[1]faturakaydet!$BW:$CK,MATCH([1]faturakaydet!$CD$31,[1]faturakaydet!$BW$31:$CK$31,0),0),"GG.AA.YYYY"),"")</f>
        <v/>
      </c>
      <c r="CL72" s="5"/>
      <c r="CM72" s="5"/>
      <c r="CN72" s="5"/>
      <c r="CO72" s="5" t="str">
        <f>IFERROR(VLOOKUP(BW72,[1]faturakaydet!$BW:$CK,MATCH([1]faturakaydet!$CF$31,[1]faturakaydet!$BW$31:$CK$31,0),0),"")</f>
        <v/>
      </c>
      <c r="CP72" s="5"/>
      <c r="CQ72" s="5"/>
      <c r="CR72" s="5"/>
      <c r="CS72" s="5"/>
      <c r="CT72" s="5"/>
      <c r="CU72" s="5"/>
      <c r="CV72" s="7" t="str">
        <f>IFERROR(VLOOKUP(BW72,[1]faturakaydet!$BW:$CK,MATCH([1]faturakaydet!$CH$31,[1]faturakaydet!$BW$31:$CK$31,0),0),"")</f>
        <v/>
      </c>
      <c r="CW72" s="7"/>
      <c r="CX72" s="7"/>
      <c r="CY72" s="7"/>
      <c r="CZ72" s="8" t="str">
        <f>IFERROR(VLOOKUP(BW72,[1]faturakaydet!$BW:$CK,MATCH([1]faturakaydet!$CG$31,[1]faturakaydet!$BW$31:$CK$31,0),0),"")</f>
        <v/>
      </c>
      <c r="DA72" s="8"/>
      <c r="DB72" s="8"/>
      <c r="DC72" s="8"/>
      <c r="DD72" s="8"/>
    </row>
    <row r="73" spans="1:108" hidden="1" x14ac:dyDescent="0.3">
      <c r="A73" t="str">
        <f t="shared" si="0"/>
        <v/>
      </c>
      <c r="BW73" t="e">
        <f>COUNTIF($BX$12:BX73,BX73)&amp;BX73</f>
        <v>#REF!</v>
      </c>
      <c r="BX73" t="e">
        <f>#REF!</f>
        <v>#REF!</v>
      </c>
      <c r="CA73" s="5" t="str">
        <f>IFERROR(VLOOKUP(BW73,[1]faturakaydet!$BW:$CK,MATCH([1]faturakaydet!$CA$31,[1]faturakaydet!$BW$31:$CK$31,0),0),"")</f>
        <v/>
      </c>
      <c r="CB73" s="5"/>
      <c r="CC73" s="5" t="str">
        <f>IFERROR(VLOOKUP(BW73,[1]faturakaydet!$BW:$CK,MATCH([1]faturakaydet!$CB$31,[1]faturakaydet!$BW$31:$CK$31,0),0),"")</f>
        <v/>
      </c>
      <c r="CD73" s="5"/>
      <c r="CE73" s="5"/>
      <c r="CF73" s="6" t="str">
        <f>IFERROR(VLOOKUP(BW73,[1]faturakaydet!$BW:$CK,MATCH([1]faturakaydet!$CC$31,[1]faturakaydet!$BW$31:$CK$31,0),0),"")</f>
        <v/>
      </c>
      <c r="CG73" s="6"/>
      <c r="CH73" s="6"/>
      <c r="CI73" s="6"/>
      <c r="CJ73" s="6"/>
      <c r="CK73" s="5" t="str">
        <f>IFERROR(TEXT(VLOOKUP(BW73,[1]faturakaydet!$BW:$CK,MATCH([1]faturakaydet!$CD$31,[1]faturakaydet!$BW$31:$CK$31,0),0),"GG.AA.YYYY"),"")</f>
        <v/>
      </c>
      <c r="CL73" s="5"/>
      <c r="CM73" s="5"/>
      <c r="CN73" s="5"/>
      <c r="CO73" s="5" t="str">
        <f>IFERROR(VLOOKUP(BW73,[1]faturakaydet!$BW:$CK,MATCH([1]faturakaydet!$CF$31,[1]faturakaydet!$BW$31:$CK$31,0),0),"")</f>
        <v/>
      </c>
      <c r="CP73" s="5"/>
      <c r="CQ73" s="5"/>
      <c r="CR73" s="5"/>
      <c r="CS73" s="5"/>
      <c r="CT73" s="5"/>
      <c r="CU73" s="5"/>
      <c r="CV73" s="7" t="str">
        <f>IFERROR(VLOOKUP(BW73,[1]faturakaydet!$BW:$CK,MATCH([1]faturakaydet!$CH$31,[1]faturakaydet!$BW$31:$CK$31,0),0),"")</f>
        <v/>
      </c>
      <c r="CW73" s="7"/>
      <c r="CX73" s="7"/>
      <c r="CY73" s="7"/>
      <c r="CZ73" s="8" t="str">
        <f>IFERROR(VLOOKUP(BW73,[1]faturakaydet!$BW:$CK,MATCH([1]faturakaydet!$CG$31,[1]faturakaydet!$BW$31:$CK$31,0),0),"")</f>
        <v/>
      </c>
      <c r="DA73" s="8"/>
      <c r="DB73" s="8"/>
      <c r="DC73" s="8"/>
      <c r="DD73" s="8"/>
    </row>
    <row r="74" spans="1:108" hidden="1" x14ac:dyDescent="0.3">
      <c r="A74" t="str">
        <f t="shared" si="0"/>
        <v/>
      </c>
      <c r="BW74" t="e">
        <f>COUNTIF($BX$12:BX74,BX74)&amp;BX74</f>
        <v>#REF!</v>
      </c>
      <c r="BX74" t="e">
        <f>#REF!</f>
        <v>#REF!</v>
      </c>
      <c r="CA74" s="5" t="str">
        <f>IFERROR(VLOOKUP(BW74,[1]faturakaydet!$BW:$CK,MATCH([1]faturakaydet!$CA$31,[1]faturakaydet!$BW$31:$CK$31,0),0),"")</f>
        <v/>
      </c>
      <c r="CB74" s="5"/>
      <c r="CC74" s="5" t="str">
        <f>IFERROR(VLOOKUP(BW74,[1]faturakaydet!$BW:$CK,MATCH([1]faturakaydet!$CB$31,[1]faturakaydet!$BW$31:$CK$31,0),0),"")</f>
        <v/>
      </c>
      <c r="CD74" s="5"/>
      <c r="CE74" s="5"/>
      <c r="CF74" s="6" t="str">
        <f>IFERROR(VLOOKUP(BW74,[1]faturakaydet!$BW:$CK,MATCH([1]faturakaydet!$CC$31,[1]faturakaydet!$BW$31:$CK$31,0),0),"")</f>
        <v/>
      </c>
      <c r="CG74" s="6"/>
      <c r="CH74" s="6"/>
      <c r="CI74" s="6"/>
      <c r="CJ74" s="6"/>
      <c r="CK74" s="5" t="str">
        <f>IFERROR(TEXT(VLOOKUP(BW74,[1]faturakaydet!$BW:$CK,MATCH([1]faturakaydet!$CD$31,[1]faturakaydet!$BW$31:$CK$31,0),0),"GG.AA.YYYY"),"")</f>
        <v/>
      </c>
      <c r="CL74" s="5"/>
      <c r="CM74" s="5"/>
      <c r="CN74" s="5"/>
      <c r="CO74" s="5" t="str">
        <f>IFERROR(VLOOKUP(BW74,[1]faturakaydet!$BW:$CK,MATCH([1]faturakaydet!$CF$31,[1]faturakaydet!$BW$31:$CK$31,0),0),"")</f>
        <v/>
      </c>
      <c r="CP74" s="5"/>
      <c r="CQ74" s="5"/>
      <c r="CR74" s="5"/>
      <c r="CS74" s="5"/>
      <c r="CT74" s="5"/>
      <c r="CU74" s="5"/>
      <c r="CV74" s="7" t="str">
        <f>IFERROR(VLOOKUP(BW74,[1]faturakaydet!$BW:$CK,MATCH([1]faturakaydet!$CH$31,[1]faturakaydet!$BW$31:$CK$31,0),0),"")</f>
        <v/>
      </c>
      <c r="CW74" s="7"/>
      <c r="CX74" s="7"/>
      <c r="CY74" s="7"/>
      <c r="CZ74" s="8" t="str">
        <f>IFERROR(VLOOKUP(BW74,[1]faturakaydet!$BW:$CK,MATCH([1]faturakaydet!$CG$31,[1]faturakaydet!$BW$31:$CK$31,0),0),"")</f>
        <v/>
      </c>
      <c r="DA74" s="8"/>
      <c r="DB74" s="8"/>
      <c r="DC74" s="8"/>
      <c r="DD74" s="8"/>
    </row>
    <row r="75" spans="1:108" hidden="1" x14ac:dyDescent="0.3">
      <c r="A75" t="str">
        <f t="shared" si="0"/>
        <v/>
      </c>
      <c r="BW75" t="e">
        <f>COUNTIF($BX$12:BX75,BX75)&amp;BX75</f>
        <v>#REF!</v>
      </c>
      <c r="BX75" t="e">
        <f>#REF!</f>
        <v>#REF!</v>
      </c>
      <c r="CA75" s="5" t="str">
        <f>IFERROR(VLOOKUP(BW75,[1]faturakaydet!$BW:$CK,MATCH([1]faturakaydet!$CA$31,[1]faturakaydet!$BW$31:$CK$31,0),0),"")</f>
        <v/>
      </c>
      <c r="CB75" s="5"/>
      <c r="CC75" s="5" t="str">
        <f>IFERROR(VLOOKUP(BW75,[1]faturakaydet!$BW:$CK,MATCH([1]faturakaydet!$CB$31,[1]faturakaydet!$BW$31:$CK$31,0),0),"")</f>
        <v/>
      </c>
      <c r="CD75" s="5"/>
      <c r="CE75" s="5"/>
      <c r="CF75" s="6" t="str">
        <f>IFERROR(VLOOKUP(BW75,[1]faturakaydet!$BW:$CK,MATCH([1]faturakaydet!$CC$31,[1]faturakaydet!$BW$31:$CK$31,0),0),"")</f>
        <v/>
      </c>
      <c r="CG75" s="6"/>
      <c r="CH75" s="6"/>
      <c r="CI75" s="6"/>
      <c r="CJ75" s="6"/>
      <c r="CK75" s="5" t="str">
        <f>IFERROR(TEXT(VLOOKUP(BW75,[1]faturakaydet!$BW:$CK,MATCH([1]faturakaydet!$CD$31,[1]faturakaydet!$BW$31:$CK$31,0),0),"GG.AA.YYYY"),"")</f>
        <v/>
      </c>
      <c r="CL75" s="5"/>
      <c r="CM75" s="5"/>
      <c r="CN75" s="5"/>
      <c r="CO75" s="5" t="str">
        <f>IFERROR(VLOOKUP(BW75,[1]faturakaydet!$BW:$CK,MATCH([1]faturakaydet!$CF$31,[1]faturakaydet!$BW$31:$CK$31,0),0),"")</f>
        <v/>
      </c>
      <c r="CP75" s="5"/>
      <c r="CQ75" s="5"/>
      <c r="CR75" s="5"/>
      <c r="CS75" s="5"/>
      <c r="CT75" s="5"/>
      <c r="CU75" s="5"/>
      <c r="CV75" s="7" t="str">
        <f>IFERROR(VLOOKUP(BW75,[1]faturakaydet!$BW:$CK,MATCH([1]faturakaydet!$CH$31,[1]faturakaydet!$BW$31:$CK$31,0),0),"")</f>
        <v/>
      </c>
      <c r="CW75" s="7"/>
      <c r="CX75" s="7"/>
      <c r="CY75" s="7"/>
      <c r="CZ75" s="8" t="str">
        <f>IFERROR(VLOOKUP(BW75,[1]faturakaydet!$BW:$CK,MATCH([1]faturakaydet!$CG$31,[1]faturakaydet!$BW$31:$CK$31,0),0),"")</f>
        <v/>
      </c>
      <c r="DA75" s="8"/>
      <c r="DB75" s="8"/>
      <c r="DC75" s="8"/>
      <c r="DD75" s="8"/>
    </row>
    <row r="76" spans="1:108" hidden="1" x14ac:dyDescent="0.3">
      <c r="A76" t="str">
        <f t="shared" si="0"/>
        <v/>
      </c>
      <c r="BW76" t="e">
        <f>COUNTIF($BX$12:BX76,BX76)&amp;BX76</f>
        <v>#REF!</v>
      </c>
      <c r="BX76" t="e">
        <f>#REF!</f>
        <v>#REF!</v>
      </c>
      <c r="CA76" s="5" t="str">
        <f>IFERROR(VLOOKUP(BW76,[1]faturakaydet!$BW:$CK,MATCH([1]faturakaydet!$CA$31,[1]faturakaydet!$BW$31:$CK$31,0),0),"")</f>
        <v/>
      </c>
      <c r="CB76" s="5"/>
      <c r="CC76" s="5" t="str">
        <f>IFERROR(VLOOKUP(BW76,[1]faturakaydet!$BW:$CK,MATCH([1]faturakaydet!$CB$31,[1]faturakaydet!$BW$31:$CK$31,0),0),"")</f>
        <v/>
      </c>
      <c r="CD76" s="5"/>
      <c r="CE76" s="5"/>
      <c r="CF76" s="6" t="str">
        <f>IFERROR(VLOOKUP(BW76,[1]faturakaydet!$BW:$CK,MATCH([1]faturakaydet!$CC$31,[1]faturakaydet!$BW$31:$CK$31,0),0),"")</f>
        <v/>
      </c>
      <c r="CG76" s="6"/>
      <c r="CH76" s="6"/>
      <c r="CI76" s="6"/>
      <c r="CJ76" s="6"/>
      <c r="CK76" s="5" t="str">
        <f>IFERROR(TEXT(VLOOKUP(BW76,[1]faturakaydet!$BW:$CK,MATCH([1]faturakaydet!$CD$31,[1]faturakaydet!$BW$31:$CK$31,0),0),"GG.AA.YYYY"),"")</f>
        <v/>
      </c>
      <c r="CL76" s="5"/>
      <c r="CM76" s="5"/>
      <c r="CN76" s="5"/>
      <c r="CO76" s="5" t="str">
        <f>IFERROR(VLOOKUP(BW76,[1]faturakaydet!$BW:$CK,MATCH([1]faturakaydet!$CF$31,[1]faturakaydet!$BW$31:$CK$31,0),0),"")</f>
        <v/>
      </c>
      <c r="CP76" s="5"/>
      <c r="CQ76" s="5"/>
      <c r="CR76" s="5"/>
      <c r="CS76" s="5"/>
      <c r="CT76" s="5"/>
      <c r="CU76" s="5"/>
      <c r="CV76" s="7" t="str">
        <f>IFERROR(VLOOKUP(BW76,[1]faturakaydet!$BW:$CK,MATCH([1]faturakaydet!$CH$31,[1]faturakaydet!$BW$31:$CK$31,0),0),"")</f>
        <v/>
      </c>
      <c r="CW76" s="7"/>
      <c r="CX76" s="7"/>
      <c r="CY76" s="7"/>
      <c r="CZ76" s="8" t="str">
        <f>IFERROR(VLOOKUP(BW76,[1]faturakaydet!$BW:$CK,MATCH([1]faturakaydet!$CG$31,[1]faturakaydet!$BW$31:$CK$31,0),0),"")</f>
        <v/>
      </c>
      <c r="DA76" s="8"/>
      <c r="DB76" s="8"/>
      <c r="DC76" s="8"/>
      <c r="DD76" s="8"/>
    </row>
    <row r="77" spans="1:108" hidden="1" x14ac:dyDescent="0.3">
      <c r="A77" t="str">
        <f t="shared" ref="A77:A83" si="1">CA77</f>
        <v/>
      </c>
      <c r="BW77" t="e">
        <f>COUNTIF($BX$12:BX77,BX77)&amp;BX77</f>
        <v>#REF!</v>
      </c>
      <c r="BX77" t="e">
        <f>#REF!</f>
        <v>#REF!</v>
      </c>
      <c r="CA77" s="5" t="str">
        <f>IFERROR(VLOOKUP(BW77,[1]faturakaydet!$BW:$CK,MATCH([1]faturakaydet!$CA$31,[1]faturakaydet!$BW$31:$CK$31,0),0),"")</f>
        <v/>
      </c>
      <c r="CB77" s="5"/>
      <c r="CC77" s="5" t="str">
        <f>IFERROR(VLOOKUP(BW77,[1]faturakaydet!$BW:$CK,MATCH([1]faturakaydet!$CB$31,[1]faturakaydet!$BW$31:$CK$31,0),0),"")</f>
        <v/>
      </c>
      <c r="CD77" s="5"/>
      <c r="CE77" s="5"/>
      <c r="CF77" s="6" t="str">
        <f>IFERROR(VLOOKUP(BW77,[1]faturakaydet!$BW:$CK,MATCH([1]faturakaydet!$CC$31,[1]faturakaydet!$BW$31:$CK$31,0),0),"")</f>
        <v/>
      </c>
      <c r="CG77" s="6"/>
      <c r="CH77" s="6"/>
      <c r="CI77" s="6"/>
      <c r="CJ77" s="6"/>
      <c r="CK77" s="5" t="str">
        <f>IFERROR(TEXT(VLOOKUP(BW77,[1]faturakaydet!$BW:$CK,MATCH([1]faturakaydet!$CD$31,[1]faturakaydet!$BW$31:$CK$31,0),0),"GG.AA.YYYY"),"")</f>
        <v/>
      </c>
      <c r="CL77" s="5"/>
      <c r="CM77" s="5"/>
      <c r="CN77" s="5"/>
      <c r="CO77" s="5" t="str">
        <f>IFERROR(VLOOKUP(BW77,[1]faturakaydet!$BW:$CK,MATCH([1]faturakaydet!$CF$31,[1]faturakaydet!$BW$31:$CK$31,0),0),"")</f>
        <v/>
      </c>
      <c r="CP77" s="5"/>
      <c r="CQ77" s="5"/>
      <c r="CR77" s="5"/>
      <c r="CS77" s="5"/>
      <c r="CT77" s="5"/>
      <c r="CU77" s="5"/>
      <c r="CV77" s="7" t="str">
        <f>IFERROR(VLOOKUP(BW77,[1]faturakaydet!$BW:$CK,MATCH([1]faturakaydet!$CH$31,[1]faturakaydet!$BW$31:$CK$31,0),0),"")</f>
        <v/>
      </c>
      <c r="CW77" s="7"/>
      <c r="CX77" s="7"/>
      <c r="CY77" s="7"/>
      <c r="CZ77" s="8" t="str">
        <f>IFERROR(VLOOKUP(BW77,[1]faturakaydet!$BW:$CK,MATCH([1]faturakaydet!$CG$31,[1]faturakaydet!$BW$31:$CK$31,0),0),"")</f>
        <v/>
      </c>
      <c r="DA77" s="8"/>
      <c r="DB77" s="8"/>
      <c r="DC77" s="8"/>
      <c r="DD77" s="8"/>
    </row>
    <row r="78" spans="1:108" hidden="1" x14ac:dyDescent="0.3">
      <c r="A78" t="str">
        <f t="shared" si="1"/>
        <v/>
      </c>
      <c r="BW78" t="e">
        <f>COUNTIF($BX$12:BX78,BX78)&amp;BX78</f>
        <v>#REF!</v>
      </c>
      <c r="BX78" t="e">
        <f>#REF!</f>
        <v>#REF!</v>
      </c>
      <c r="CA78" s="5" t="str">
        <f>IFERROR(VLOOKUP(BW78,[1]faturakaydet!$BW:$CK,MATCH([1]faturakaydet!$CA$31,[1]faturakaydet!$BW$31:$CK$31,0),0),"")</f>
        <v/>
      </c>
      <c r="CB78" s="5"/>
      <c r="CC78" s="5" t="str">
        <f>IFERROR(VLOOKUP(BW78,[1]faturakaydet!$BW:$CK,MATCH([1]faturakaydet!$CB$31,[1]faturakaydet!$BW$31:$CK$31,0),0),"")</f>
        <v/>
      </c>
      <c r="CD78" s="5"/>
      <c r="CE78" s="5"/>
      <c r="CF78" s="6" t="str">
        <f>IFERROR(VLOOKUP(BW78,[1]faturakaydet!$BW:$CK,MATCH([1]faturakaydet!$CC$31,[1]faturakaydet!$BW$31:$CK$31,0),0),"")</f>
        <v/>
      </c>
      <c r="CG78" s="6"/>
      <c r="CH78" s="6"/>
      <c r="CI78" s="6"/>
      <c r="CJ78" s="6"/>
      <c r="CK78" s="5" t="str">
        <f>IFERROR(TEXT(VLOOKUP(BW78,[1]faturakaydet!$BW:$CK,MATCH([1]faturakaydet!$CD$31,[1]faturakaydet!$BW$31:$CK$31,0),0),"GG.AA.YYYY"),"")</f>
        <v/>
      </c>
      <c r="CL78" s="5"/>
      <c r="CM78" s="5"/>
      <c r="CN78" s="5"/>
      <c r="CO78" s="5" t="str">
        <f>IFERROR(VLOOKUP(BW78,[1]faturakaydet!$BW:$CK,MATCH([1]faturakaydet!$CF$31,[1]faturakaydet!$BW$31:$CK$31,0),0),"")</f>
        <v/>
      </c>
      <c r="CP78" s="5"/>
      <c r="CQ78" s="5"/>
      <c r="CR78" s="5"/>
      <c r="CS78" s="5"/>
      <c r="CT78" s="5"/>
      <c r="CU78" s="5"/>
      <c r="CV78" s="7" t="str">
        <f>IFERROR(VLOOKUP(BW78,[1]faturakaydet!$BW:$CK,MATCH([1]faturakaydet!$CH$31,[1]faturakaydet!$BW$31:$CK$31,0),0),"")</f>
        <v/>
      </c>
      <c r="CW78" s="7"/>
      <c r="CX78" s="7"/>
      <c r="CY78" s="7"/>
      <c r="CZ78" s="8" t="str">
        <f>IFERROR(VLOOKUP(BW78,[1]faturakaydet!$BW:$CK,MATCH([1]faturakaydet!$CG$31,[1]faturakaydet!$BW$31:$CK$31,0),0),"")</f>
        <v/>
      </c>
      <c r="DA78" s="8"/>
      <c r="DB78" s="8"/>
      <c r="DC78" s="8"/>
      <c r="DD78" s="8"/>
    </row>
    <row r="79" spans="1:108" hidden="1" x14ac:dyDescent="0.3">
      <c r="A79" t="str">
        <f t="shared" si="1"/>
        <v/>
      </c>
      <c r="BW79" t="e">
        <f>COUNTIF($BX$12:BX79,BX79)&amp;BX79</f>
        <v>#REF!</v>
      </c>
      <c r="BX79" t="e">
        <f>#REF!</f>
        <v>#REF!</v>
      </c>
      <c r="CA79" s="5" t="str">
        <f>IFERROR(VLOOKUP(BW79,[1]faturakaydet!$BW:$CK,MATCH([1]faturakaydet!$CA$31,[1]faturakaydet!$BW$31:$CK$31,0),0),"")</f>
        <v/>
      </c>
      <c r="CB79" s="5"/>
      <c r="CC79" s="5" t="str">
        <f>IFERROR(VLOOKUP(BW79,[1]faturakaydet!$BW:$CK,MATCH([1]faturakaydet!$CB$31,[1]faturakaydet!$BW$31:$CK$31,0),0),"")</f>
        <v/>
      </c>
      <c r="CD79" s="5"/>
      <c r="CE79" s="5"/>
      <c r="CF79" s="6" t="str">
        <f>IFERROR(VLOOKUP(BW79,[1]faturakaydet!$BW:$CK,MATCH([1]faturakaydet!$CC$31,[1]faturakaydet!$BW$31:$CK$31,0),0),"")</f>
        <v/>
      </c>
      <c r="CG79" s="6"/>
      <c r="CH79" s="6"/>
      <c r="CI79" s="6"/>
      <c r="CJ79" s="6"/>
      <c r="CK79" s="5" t="str">
        <f>IFERROR(TEXT(VLOOKUP(BW79,[1]faturakaydet!$BW:$CK,MATCH([1]faturakaydet!$CD$31,[1]faturakaydet!$BW$31:$CK$31,0),0),"GG.AA.YYYY"),"")</f>
        <v/>
      </c>
      <c r="CL79" s="5"/>
      <c r="CM79" s="5"/>
      <c r="CN79" s="5"/>
      <c r="CO79" s="5" t="str">
        <f>IFERROR(VLOOKUP(BW79,[1]faturakaydet!$BW:$CK,MATCH([1]faturakaydet!$CF$31,[1]faturakaydet!$BW$31:$CK$31,0),0),"")</f>
        <v/>
      </c>
      <c r="CP79" s="5"/>
      <c r="CQ79" s="5"/>
      <c r="CR79" s="5"/>
      <c r="CS79" s="5"/>
      <c r="CT79" s="5"/>
      <c r="CU79" s="5"/>
      <c r="CV79" s="7" t="str">
        <f>IFERROR(VLOOKUP(BW79,[1]faturakaydet!$BW:$CK,MATCH([1]faturakaydet!$CH$31,[1]faturakaydet!$BW$31:$CK$31,0),0),"")</f>
        <v/>
      </c>
      <c r="CW79" s="7"/>
      <c r="CX79" s="7"/>
      <c r="CY79" s="7"/>
      <c r="CZ79" s="8" t="str">
        <f>IFERROR(VLOOKUP(BW79,[1]faturakaydet!$BW:$CK,MATCH([1]faturakaydet!$CG$31,[1]faturakaydet!$BW$31:$CK$31,0),0),"")</f>
        <v/>
      </c>
      <c r="DA79" s="8"/>
      <c r="DB79" s="8"/>
      <c r="DC79" s="8"/>
      <c r="DD79" s="8"/>
    </row>
    <row r="80" spans="1:108" hidden="1" x14ac:dyDescent="0.3">
      <c r="A80" t="str">
        <f t="shared" si="1"/>
        <v/>
      </c>
      <c r="BW80" t="e">
        <f>COUNTIF($BX$12:BX80,BX80)&amp;BX80</f>
        <v>#REF!</v>
      </c>
      <c r="BX80" t="e">
        <f>#REF!</f>
        <v>#REF!</v>
      </c>
      <c r="CA80" s="5" t="str">
        <f>IFERROR(VLOOKUP(BW80,[1]faturakaydet!$BW:$CK,MATCH([1]faturakaydet!$CA$31,[1]faturakaydet!$BW$31:$CK$31,0),0),"")</f>
        <v/>
      </c>
      <c r="CB80" s="5"/>
      <c r="CC80" s="5" t="str">
        <f>IFERROR(VLOOKUP(BW80,[1]faturakaydet!$BW:$CK,MATCH([1]faturakaydet!$CB$31,[1]faturakaydet!$BW$31:$CK$31,0),0),"")</f>
        <v/>
      </c>
      <c r="CD80" s="5"/>
      <c r="CE80" s="5"/>
      <c r="CF80" s="6" t="str">
        <f>IFERROR(VLOOKUP(BW80,[1]faturakaydet!$BW:$CK,MATCH([1]faturakaydet!$CC$31,[1]faturakaydet!$BW$31:$CK$31,0),0),"")</f>
        <v/>
      </c>
      <c r="CG80" s="6"/>
      <c r="CH80" s="6"/>
      <c r="CI80" s="6"/>
      <c r="CJ80" s="6"/>
      <c r="CK80" s="5" t="str">
        <f>IFERROR(TEXT(VLOOKUP(BW80,[1]faturakaydet!$BW:$CK,MATCH([1]faturakaydet!$CD$31,[1]faturakaydet!$BW$31:$CK$31,0),0),"GG.AA.YYYY"),"")</f>
        <v/>
      </c>
      <c r="CL80" s="5"/>
      <c r="CM80" s="5"/>
      <c r="CN80" s="5"/>
      <c r="CO80" s="5" t="str">
        <f>IFERROR(VLOOKUP(BW80,[1]faturakaydet!$BW:$CK,MATCH([1]faturakaydet!$CF$31,[1]faturakaydet!$BW$31:$CK$31,0),0),"")</f>
        <v/>
      </c>
      <c r="CP80" s="5"/>
      <c r="CQ80" s="5"/>
      <c r="CR80" s="5"/>
      <c r="CS80" s="5"/>
      <c r="CT80" s="5"/>
      <c r="CU80" s="5"/>
      <c r="CV80" s="7" t="str">
        <f>IFERROR(VLOOKUP(BW80,[1]faturakaydet!$BW:$CK,MATCH([1]faturakaydet!$CH$31,[1]faturakaydet!$BW$31:$CK$31,0),0),"")</f>
        <v/>
      </c>
      <c r="CW80" s="7"/>
      <c r="CX80" s="7"/>
      <c r="CY80" s="7"/>
      <c r="CZ80" s="8" t="str">
        <f>IFERROR(VLOOKUP(BW80,[1]faturakaydet!$BW:$CK,MATCH([1]faturakaydet!$CG$31,[1]faturakaydet!$BW$31:$CK$31,0),0),"")</f>
        <v/>
      </c>
      <c r="DA80" s="8"/>
      <c r="DB80" s="8"/>
      <c r="DC80" s="8"/>
      <c r="DD80" s="8"/>
    </row>
    <row r="81" spans="1:108" hidden="1" x14ac:dyDescent="0.3">
      <c r="A81" t="str">
        <f t="shared" si="1"/>
        <v/>
      </c>
      <c r="BW81" t="e">
        <f>COUNTIF($BX$12:BX81,BX81)&amp;BX81</f>
        <v>#REF!</v>
      </c>
      <c r="BX81" t="e">
        <f>#REF!</f>
        <v>#REF!</v>
      </c>
      <c r="CA81" s="5" t="str">
        <f>IFERROR(VLOOKUP(BW81,[1]faturakaydet!$BW:$CK,MATCH([1]faturakaydet!$CA$31,[1]faturakaydet!$BW$31:$CK$31,0),0),"")</f>
        <v/>
      </c>
      <c r="CB81" s="5"/>
      <c r="CC81" s="5" t="str">
        <f>IFERROR(VLOOKUP(BW81,[1]faturakaydet!$BW:$CK,MATCH([1]faturakaydet!$CB$31,[1]faturakaydet!$BW$31:$CK$31,0),0),"")</f>
        <v/>
      </c>
      <c r="CD81" s="5"/>
      <c r="CE81" s="5"/>
      <c r="CF81" s="6" t="str">
        <f>IFERROR(VLOOKUP(BW81,[1]faturakaydet!$BW:$CK,MATCH([1]faturakaydet!$CC$31,[1]faturakaydet!$BW$31:$CK$31,0),0),"")</f>
        <v/>
      </c>
      <c r="CG81" s="6"/>
      <c r="CH81" s="6"/>
      <c r="CI81" s="6"/>
      <c r="CJ81" s="6"/>
      <c r="CK81" s="5" t="str">
        <f>IFERROR(TEXT(VLOOKUP(BW81,[1]faturakaydet!$BW:$CK,MATCH([1]faturakaydet!$CD$31,[1]faturakaydet!$BW$31:$CK$31,0),0),"GG.AA.YYYY"),"")</f>
        <v/>
      </c>
      <c r="CL81" s="5"/>
      <c r="CM81" s="5"/>
      <c r="CN81" s="5"/>
      <c r="CO81" s="5" t="str">
        <f>IFERROR(VLOOKUP(BW81,[1]faturakaydet!$BW:$CK,MATCH([1]faturakaydet!$CF$31,[1]faturakaydet!$BW$31:$CK$31,0),0),"")</f>
        <v/>
      </c>
      <c r="CP81" s="5"/>
      <c r="CQ81" s="5"/>
      <c r="CR81" s="5"/>
      <c r="CS81" s="5"/>
      <c r="CT81" s="5"/>
      <c r="CU81" s="5"/>
      <c r="CV81" s="7" t="str">
        <f>IFERROR(VLOOKUP(BW81,[1]faturakaydet!$BW:$CK,MATCH([1]faturakaydet!$CH$31,[1]faturakaydet!$BW$31:$CK$31,0),0),"")</f>
        <v/>
      </c>
      <c r="CW81" s="7"/>
      <c r="CX81" s="7"/>
      <c r="CY81" s="7"/>
      <c r="CZ81" s="8" t="str">
        <f>IFERROR(VLOOKUP(BW81,[1]faturakaydet!$BW:$CK,MATCH([1]faturakaydet!$CG$31,[1]faturakaydet!$BW$31:$CK$31,0),0),"")</f>
        <v/>
      </c>
      <c r="DA81" s="8"/>
      <c r="DB81" s="8"/>
      <c r="DC81" s="8"/>
      <c r="DD81" s="8"/>
    </row>
    <row r="82" spans="1:108" hidden="1" x14ac:dyDescent="0.3">
      <c r="A82" t="str">
        <f t="shared" si="1"/>
        <v/>
      </c>
      <c r="BW82" t="e">
        <f>COUNTIF($BX$12:BX82,BX82)&amp;BX82</f>
        <v>#REF!</v>
      </c>
      <c r="BX82" t="e">
        <f>#REF!</f>
        <v>#REF!</v>
      </c>
      <c r="CA82" s="5" t="str">
        <f>IFERROR(VLOOKUP(BW82,[1]faturakaydet!$BW:$CK,MATCH([1]faturakaydet!$CA$31,[1]faturakaydet!$BW$31:$CK$31,0),0),"")</f>
        <v/>
      </c>
      <c r="CB82" s="5"/>
      <c r="CC82" s="5" t="str">
        <f>IFERROR(VLOOKUP(BW82,[1]faturakaydet!$BW:$CK,MATCH([1]faturakaydet!$CB$31,[1]faturakaydet!$BW$31:$CK$31,0),0),"")</f>
        <v/>
      </c>
      <c r="CD82" s="5"/>
      <c r="CE82" s="5"/>
      <c r="CF82" s="6" t="str">
        <f>IFERROR(VLOOKUP(BW82,[1]faturakaydet!$BW:$CK,MATCH([1]faturakaydet!$CC$31,[1]faturakaydet!$BW$31:$CK$31,0),0),"")</f>
        <v/>
      </c>
      <c r="CG82" s="6"/>
      <c r="CH82" s="6"/>
      <c r="CI82" s="6"/>
      <c r="CJ82" s="6"/>
      <c r="CK82" s="5" t="str">
        <f>IFERROR(TEXT(VLOOKUP(BW82,[1]faturakaydet!$BW:$CK,MATCH([1]faturakaydet!$CD$31,[1]faturakaydet!$BW$31:$CK$31,0),0),"GG.AA.YYYY"),"")</f>
        <v/>
      </c>
      <c r="CL82" s="5"/>
      <c r="CM82" s="5"/>
      <c r="CN82" s="5"/>
      <c r="CO82" s="5" t="str">
        <f>IFERROR(VLOOKUP(BW82,[1]faturakaydet!$BW:$CK,MATCH([1]faturakaydet!$CF$31,[1]faturakaydet!$BW$31:$CK$31,0),0),"")</f>
        <v/>
      </c>
      <c r="CP82" s="5"/>
      <c r="CQ82" s="5"/>
      <c r="CR82" s="5"/>
      <c r="CS82" s="5"/>
      <c r="CT82" s="5"/>
      <c r="CU82" s="5"/>
      <c r="CV82" s="7" t="str">
        <f>IFERROR(VLOOKUP(BW82,[1]faturakaydet!$BW:$CK,MATCH([1]faturakaydet!$CH$31,[1]faturakaydet!$BW$31:$CK$31,0),0),"")</f>
        <v/>
      </c>
      <c r="CW82" s="7"/>
      <c r="CX82" s="7"/>
      <c r="CY82" s="7"/>
      <c r="CZ82" s="8" t="str">
        <f>IFERROR(VLOOKUP(BW82,[1]faturakaydet!$BW:$CK,MATCH([1]faturakaydet!$CG$31,[1]faturakaydet!$BW$31:$CK$31,0),0),"")</f>
        <v/>
      </c>
      <c r="DA82" s="8"/>
      <c r="DB82" s="8"/>
      <c r="DC82" s="8"/>
      <c r="DD82" s="8"/>
    </row>
    <row r="83" spans="1:108" hidden="1" x14ac:dyDescent="0.3">
      <c r="A83" t="str">
        <f t="shared" si="1"/>
        <v/>
      </c>
      <c r="BW83" t="e">
        <f>COUNTIF($BX$12:BX83,BX83)&amp;BX83</f>
        <v>#REF!</v>
      </c>
      <c r="BX83" t="e">
        <f>#REF!</f>
        <v>#REF!</v>
      </c>
      <c r="CA83" s="9" t="str">
        <f>IFERROR(VLOOKUP(BW83,[1]faturakaydet!$BW:$CK,MATCH([1]faturakaydet!$CA$31,[1]faturakaydet!$BW$31:$CK$31,0),0),"")</f>
        <v/>
      </c>
      <c r="CB83" s="9"/>
      <c r="CC83" s="9" t="str">
        <f>IFERROR(VLOOKUP(BW83,[1]faturakaydet!$BW:$CK,MATCH([1]faturakaydet!$CB$31,[1]faturakaydet!$BW$31:$CK$31,0),0),"")</f>
        <v/>
      </c>
      <c r="CD83" s="9"/>
      <c r="CE83" s="9"/>
      <c r="CF83" s="10" t="str">
        <f>IFERROR(VLOOKUP(BW83,[1]faturakaydet!$BW:$CK,MATCH([1]faturakaydet!$CC$31,[1]faturakaydet!$BW$31:$CK$31,0),0),"")</f>
        <v/>
      </c>
      <c r="CG83" s="10"/>
      <c r="CH83" s="10"/>
      <c r="CI83" s="10"/>
      <c r="CJ83" s="10"/>
      <c r="CK83" s="9" t="str">
        <f>IFERROR(TEXT(VLOOKUP(BW83,[1]faturakaydet!$BW:$CK,MATCH([1]faturakaydet!$CD$31,[1]faturakaydet!$BW$31:$CK$31,0),0),"GG.AA.YYYY"),"")</f>
        <v/>
      </c>
      <c r="CL83" s="9"/>
      <c r="CM83" s="9"/>
      <c r="CN83" s="9"/>
      <c r="CO83" s="9" t="str">
        <f>IFERROR(VLOOKUP(BW83,[1]faturakaydet!$BW:$CK,MATCH([1]faturakaydet!$CF$31,[1]faturakaydet!$BW$31:$CK$31,0),0),"")</f>
        <v/>
      </c>
      <c r="CP83" s="9"/>
      <c r="CQ83" s="9"/>
      <c r="CR83" s="9"/>
      <c r="CS83" s="9"/>
      <c r="CT83" s="9"/>
      <c r="CU83" s="9"/>
      <c r="CV83" s="11" t="str">
        <f>IFERROR(VLOOKUP(BW83,[1]faturakaydet!$BW:$CK,MATCH([1]faturakaydet!$CH$31,[1]faturakaydet!$BW$31:$CK$31,0),0),"")</f>
        <v/>
      </c>
      <c r="CW83" s="11"/>
      <c r="CX83" s="11"/>
      <c r="CY83" s="11"/>
      <c r="CZ83" s="12" t="str">
        <f>IFERROR(VLOOKUP(BW83,[1]faturakaydet!$BW:$CK,MATCH([1]faturakaydet!$CG$31,[1]faturakaydet!$BW$31:$CK$31,0),0),"")</f>
        <v/>
      </c>
      <c r="DA83" s="12"/>
      <c r="DB83" s="12"/>
      <c r="DC83" s="12"/>
      <c r="DD83" s="12"/>
    </row>
    <row r="84" spans="1:108" x14ac:dyDescent="0.3">
      <c r="A84" s="13" t="s">
        <v>12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4">
        <v>851446.35000000009</v>
      </c>
      <c r="DA84" s="15"/>
      <c r="DB84" s="15"/>
      <c r="DC84" s="15"/>
      <c r="DD84" s="15"/>
    </row>
  </sheetData>
  <sheetProtection autoFilter="0"/>
  <mergeCells count="522">
    <mergeCell ref="A84:CY84"/>
    <mergeCell ref="CZ84:DD84"/>
    <mergeCell ref="CZ82:DD82"/>
    <mergeCell ref="CA83:CB83"/>
    <mergeCell ref="CC83:CE83"/>
    <mergeCell ref="CF83:CJ83"/>
    <mergeCell ref="CK83:CN83"/>
    <mergeCell ref="CO83:CU83"/>
    <mergeCell ref="CV83:CY83"/>
    <mergeCell ref="CZ83:DD83"/>
    <mergeCell ref="CA82:CB82"/>
    <mergeCell ref="CC82:CE82"/>
    <mergeCell ref="CF82:CJ82"/>
    <mergeCell ref="CK82:CN82"/>
    <mergeCell ref="CO82:CU82"/>
    <mergeCell ref="CV82:CY82"/>
    <mergeCell ref="CZ80:DD80"/>
    <mergeCell ref="CA81:CB81"/>
    <mergeCell ref="CC81:CE81"/>
    <mergeCell ref="CF81:CJ81"/>
    <mergeCell ref="CK81:CN81"/>
    <mergeCell ref="CO81:CU81"/>
    <mergeCell ref="CV81:CY81"/>
    <mergeCell ref="CZ81:DD81"/>
    <mergeCell ref="CA80:CB80"/>
    <mergeCell ref="CC80:CE80"/>
    <mergeCell ref="CF80:CJ80"/>
    <mergeCell ref="CK80:CN80"/>
    <mergeCell ref="CO80:CU80"/>
    <mergeCell ref="CV80:CY80"/>
    <mergeCell ref="CZ78:DD78"/>
    <mergeCell ref="CA79:CB79"/>
    <mergeCell ref="CC79:CE79"/>
    <mergeCell ref="CF79:CJ79"/>
    <mergeCell ref="CK79:CN79"/>
    <mergeCell ref="CO79:CU79"/>
    <mergeCell ref="CV79:CY79"/>
    <mergeCell ref="CZ79:DD79"/>
    <mergeCell ref="CA78:CB78"/>
    <mergeCell ref="CC78:CE78"/>
    <mergeCell ref="CF78:CJ78"/>
    <mergeCell ref="CK78:CN78"/>
    <mergeCell ref="CO78:CU78"/>
    <mergeCell ref="CV78:CY78"/>
    <mergeCell ref="CZ76:DD76"/>
    <mergeCell ref="CA77:CB77"/>
    <mergeCell ref="CC77:CE77"/>
    <mergeCell ref="CF77:CJ77"/>
    <mergeCell ref="CK77:CN77"/>
    <mergeCell ref="CO77:CU77"/>
    <mergeCell ref="CV77:CY77"/>
    <mergeCell ref="CZ77:DD77"/>
    <mergeCell ref="CA76:CB76"/>
    <mergeCell ref="CC76:CE76"/>
    <mergeCell ref="CF76:CJ76"/>
    <mergeCell ref="CK76:CN76"/>
    <mergeCell ref="CO76:CU76"/>
    <mergeCell ref="CV76:CY76"/>
    <mergeCell ref="CZ74:DD74"/>
    <mergeCell ref="CA75:CB75"/>
    <mergeCell ref="CC75:CE75"/>
    <mergeCell ref="CF75:CJ75"/>
    <mergeCell ref="CK75:CN75"/>
    <mergeCell ref="CO75:CU75"/>
    <mergeCell ref="CV75:CY75"/>
    <mergeCell ref="CZ75:DD75"/>
    <mergeCell ref="CA74:CB74"/>
    <mergeCell ref="CC74:CE74"/>
    <mergeCell ref="CF74:CJ74"/>
    <mergeCell ref="CK74:CN74"/>
    <mergeCell ref="CO74:CU74"/>
    <mergeCell ref="CV74:CY74"/>
    <mergeCell ref="CZ72:DD72"/>
    <mergeCell ref="CA73:CB73"/>
    <mergeCell ref="CC73:CE73"/>
    <mergeCell ref="CF73:CJ73"/>
    <mergeCell ref="CK73:CN73"/>
    <mergeCell ref="CO73:CU73"/>
    <mergeCell ref="CV73:CY73"/>
    <mergeCell ref="CZ73:DD73"/>
    <mergeCell ref="CA72:CB72"/>
    <mergeCell ref="CC72:CE72"/>
    <mergeCell ref="CF72:CJ72"/>
    <mergeCell ref="CK72:CN72"/>
    <mergeCell ref="CO72:CU72"/>
    <mergeCell ref="CV72:CY72"/>
    <mergeCell ref="CZ70:DD70"/>
    <mergeCell ref="CA71:CB71"/>
    <mergeCell ref="CC71:CE71"/>
    <mergeCell ref="CF71:CJ71"/>
    <mergeCell ref="CK71:CN71"/>
    <mergeCell ref="CO71:CU71"/>
    <mergeCell ref="CV71:CY71"/>
    <mergeCell ref="CZ71:DD71"/>
    <mergeCell ref="CA70:CB70"/>
    <mergeCell ref="CC70:CE70"/>
    <mergeCell ref="CF70:CJ70"/>
    <mergeCell ref="CK70:CN70"/>
    <mergeCell ref="CO70:CU70"/>
    <mergeCell ref="CV70:CY70"/>
    <mergeCell ref="CZ68:DD68"/>
    <mergeCell ref="CA69:CB69"/>
    <mergeCell ref="CC69:CE69"/>
    <mergeCell ref="CF69:CJ69"/>
    <mergeCell ref="CK69:CN69"/>
    <mergeCell ref="CO69:CU69"/>
    <mergeCell ref="CV69:CY69"/>
    <mergeCell ref="CZ69:DD69"/>
    <mergeCell ref="CA68:CB68"/>
    <mergeCell ref="CC68:CE68"/>
    <mergeCell ref="CF68:CJ68"/>
    <mergeCell ref="CK68:CN68"/>
    <mergeCell ref="CO68:CU68"/>
    <mergeCell ref="CV68:CY68"/>
    <mergeCell ref="CZ66:DD66"/>
    <mergeCell ref="CA67:CB67"/>
    <mergeCell ref="CC67:CE67"/>
    <mergeCell ref="CF67:CJ67"/>
    <mergeCell ref="CK67:CN67"/>
    <mergeCell ref="CO67:CU67"/>
    <mergeCell ref="CV67:CY67"/>
    <mergeCell ref="CZ67:DD67"/>
    <mergeCell ref="CA66:CB66"/>
    <mergeCell ref="CC66:CE66"/>
    <mergeCell ref="CF66:CJ66"/>
    <mergeCell ref="CK66:CN66"/>
    <mergeCell ref="CO66:CU66"/>
    <mergeCell ref="CV66:CY66"/>
    <mergeCell ref="CZ64:DD64"/>
    <mergeCell ref="CA65:CB65"/>
    <mergeCell ref="CC65:CE65"/>
    <mergeCell ref="CF65:CJ65"/>
    <mergeCell ref="CK65:CN65"/>
    <mergeCell ref="CO65:CU65"/>
    <mergeCell ref="CV65:CY65"/>
    <mergeCell ref="CZ65:DD65"/>
    <mergeCell ref="CA64:CB64"/>
    <mergeCell ref="CC64:CE64"/>
    <mergeCell ref="CF64:CJ64"/>
    <mergeCell ref="CK64:CN64"/>
    <mergeCell ref="CO64:CU64"/>
    <mergeCell ref="CV64:CY64"/>
    <mergeCell ref="CZ62:DD62"/>
    <mergeCell ref="CA63:CB63"/>
    <mergeCell ref="CC63:CE63"/>
    <mergeCell ref="CF63:CJ63"/>
    <mergeCell ref="CK63:CN63"/>
    <mergeCell ref="CO63:CU63"/>
    <mergeCell ref="CV63:CY63"/>
    <mergeCell ref="CZ63:DD63"/>
    <mergeCell ref="CA62:CB62"/>
    <mergeCell ref="CC62:CE62"/>
    <mergeCell ref="CF62:CJ62"/>
    <mergeCell ref="CK62:CN62"/>
    <mergeCell ref="CO62:CU62"/>
    <mergeCell ref="CV62:CY62"/>
    <mergeCell ref="CZ60:DD60"/>
    <mergeCell ref="CA61:CB61"/>
    <mergeCell ref="CC61:CE61"/>
    <mergeCell ref="CF61:CJ61"/>
    <mergeCell ref="CK61:CN61"/>
    <mergeCell ref="CO61:CU61"/>
    <mergeCell ref="CV61:CY61"/>
    <mergeCell ref="CZ61:DD61"/>
    <mergeCell ref="CA60:CB60"/>
    <mergeCell ref="CC60:CE60"/>
    <mergeCell ref="CF60:CJ60"/>
    <mergeCell ref="CK60:CN60"/>
    <mergeCell ref="CO60:CU60"/>
    <mergeCell ref="CV60:CY60"/>
    <mergeCell ref="CZ58:DD58"/>
    <mergeCell ref="CA59:CB59"/>
    <mergeCell ref="CC59:CE59"/>
    <mergeCell ref="CF59:CJ59"/>
    <mergeCell ref="CK59:CN59"/>
    <mergeCell ref="CO59:CU59"/>
    <mergeCell ref="CV59:CY59"/>
    <mergeCell ref="CZ59:DD59"/>
    <mergeCell ref="CA58:CB58"/>
    <mergeCell ref="CC58:CE58"/>
    <mergeCell ref="CF58:CJ58"/>
    <mergeCell ref="CK58:CN58"/>
    <mergeCell ref="CO58:CU58"/>
    <mergeCell ref="CV58:CY58"/>
    <mergeCell ref="CZ56:DD56"/>
    <mergeCell ref="CA57:CB57"/>
    <mergeCell ref="CC57:CE57"/>
    <mergeCell ref="CF57:CJ57"/>
    <mergeCell ref="CK57:CN57"/>
    <mergeCell ref="CO57:CU57"/>
    <mergeCell ref="CV57:CY57"/>
    <mergeCell ref="CZ57:DD57"/>
    <mergeCell ref="CA56:CB56"/>
    <mergeCell ref="CC56:CE56"/>
    <mergeCell ref="CF56:CJ56"/>
    <mergeCell ref="CK56:CN56"/>
    <mergeCell ref="CO56:CU56"/>
    <mergeCell ref="CV56:CY56"/>
    <mergeCell ref="CZ54:DD54"/>
    <mergeCell ref="CA55:CB55"/>
    <mergeCell ref="CC55:CE55"/>
    <mergeCell ref="CF55:CJ55"/>
    <mergeCell ref="CK55:CN55"/>
    <mergeCell ref="CO55:CU55"/>
    <mergeCell ref="CV55:CY55"/>
    <mergeCell ref="CZ55:DD55"/>
    <mergeCell ref="CA54:CB54"/>
    <mergeCell ref="CC54:CE54"/>
    <mergeCell ref="CF54:CJ54"/>
    <mergeCell ref="CK54:CN54"/>
    <mergeCell ref="CO54:CU54"/>
    <mergeCell ref="CV54:CY54"/>
    <mergeCell ref="CZ52:DD52"/>
    <mergeCell ref="CA53:CB53"/>
    <mergeCell ref="CC53:CE53"/>
    <mergeCell ref="CF53:CJ53"/>
    <mergeCell ref="CK53:CN53"/>
    <mergeCell ref="CO53:CU53"/>
    <mergeCell ref="CV53:CY53"/>
    <mergeCell ref="CZ53:DD53"/>
    <mergeCell ref="CA52:CB52"/>
    <mergeCell ref="CC52:CE52"/>
    <mergeCell ref="CF52:CJ52"/>
    <mergeCell ref="CK52:CN52"/>
    <mergeCell ref="CO52:CU52"/>
    <mergeCell ref="CV52:CY52"/>
    <mergeCell ref="CZ50:DD50"/>
    <mergeCell ref="CA51:CB51"/>
    <mergeCell ref="CC51:CE51"/>
    <mergeCell ref="CF51:CJ51"/>
    <mergeCell ref="CK51:CN51"/>
    <mergeCell ref="CO51:CU51"/>
    <mergeCell ref="CV51:CY51"/>
    <mergeCell ref="CZ51:DD51"/>
    <mergeCell ref="CA50:CB50"/>
    <mergeCell ref="CC50:CE50"/>
    <mergeCell ref="CF50:CJ50"/>
    <mergeCell ref="CK50:CN50"/>
    <mergeCell ref="CO50:CU50"/>
    <mergeCell ref="CV50:CY50"/>
    <mergeCell ref="CZ48:DD48"/>
    <mergeCell ref="CA49:CB49"/>
    <mergeCell ref="CC49:CE49"/>
    <mergeCell ref="CF49:CJ49"/>
    <mergeCell ref="CK49:CN49"/>
    <mergeCell ref="CO49:CU49"/>
    <mergeCell ref="CV49:CY49"/>
    <mergeCell ref="CZ49:DD49"/>
    <mergeCell ref="CA48:CB48"/>
    <mergeCell ref="CC48:CE48"/>
    <mergeCell ref="CF48:CJ48"/>
    <mergeCell ref="CK48:CN48"/>
    <mergeCell ref="CO48:CU48"/>
    <mergeCell ref="CV48:CY48"/>
    <mergeCell ref="CZ46:DD46"/>
    <mergeCell ref="CA47:CB47"/>
    <mergeCell ref="CC47:CE47"/>
    <mergeCell ref="CF47:CJ47"/>
    <mergeCell ref="CK47:CN47"/>
    <mergeCell ref="CO47:CU47"/>
    <mergeCell ref="CV47:CY47"/>
    <mergeCell ref="CZ47:DD47"/>
    <mergeCell ref="CA46:CB46"/>
    <mergeCell ref="CC46:CE46"/>
    <mergeCell ref="CF46:CJ46"/>
    <mergeCell ref="CK46:CN46"/>
    <mergeCell ref="CO46:CU46"/>
    <mergeCell ref="CV46:CY46"/>
    <mergeCell ref="CZ44:DD44"/>
    <mergeCell ref="CA45:CB45"/>
    <mergeCell ref="CC45:CE45"/>
    <mergeCell ref="CF45:CJ45"/>
    <mergeCell ref="CK45:CN45"/>
    <mergeCell ref="CO45:CU45"/>
    <mergeCell ref="CV45:CY45"/>
    <mergeCell ref="CZ45:DD45"/>
    <mergeCell ref="CA44:CB44"/>
    <mergeCell ref="CC44:CE44"/>
    <mergeCell ref="CF44:CJ44"/>
    <mergeCell ref="CK44:CN44"/>
    <mergeCell ref="CO44:CU44"/>
    <mergeCell ref="CV44:CY44"/>
    <mergeCell ref="CZ42:DD42"/>
    <mergeCell ref="CA43:CB43"/>
    <mergeCell ref="CC43:CE43"/>
    <mergeCell ref="CF43:CJ43"/>
    <mergeCell ref="CK43:CN43"/>
    <mergeCell ref="CO43:CU43"/>
    <mergeCell ref="CV43:CY43"/>
    <mergeCell ref="CZ43:DD43"/>
    <mergeCell ref="CA42:CB42"/>
    <mergeCell ref="CC42:CE42"/>
    <mergeCell ref="CF42:CJ42"/>
    <mergeCell ref="CK42:CN42"/>
    <mergeCell ref="CO42:CU42"/>
    <mergeCell ref="CV42:CY42"/>
    <mergeCell ref="CZ40:DD40"/>
    <mergeCell ref="CA41:CB41"/>
    <mergeCell ref="CC41:CE41"/>
    <mergeCell ref="CF41:CJ41"/>
    <mergeCell ref="CK41:CN41"/>
    <mergeCell ref="CO41:CU41"/>
    <mergeCell ref="CV41:CY41"/>
    <mergeCell ref="CZ41:DD41"/>
    <mergeCell ref="CA40:CB40"/>
    <mergeCell ref="CC40:CE40"/>
    <mergeCell ref="CF40:CJ40"/>
    <mergeCell ref="CK40:CN40"/>
    <mergeCell ref="CO40:CU40"/>
    <mergeCell ref="CV40:CY40"/>
    <mergeCell ref="CZ38:DD38"/>
    <mergeCell ref="CA39:CB39"/>
    <mergeCell ref="CC39:CE39"/>
    <mergeCell ref="CF39:CJ39"/>
    <mergeCell ref="CK39:CN39"/>
    <mergeCell ref="CO39:CU39"/>
    <mergeCell ref="CV39:CY39"/>
    <mergeCell ref="CZ39:DD39"/>
    <mergeCell ref="CA38:CB38"/>
    <mergeCell ref="CC38:CE38"/>
    <mergeCell ref="CF38:CJ38"/>
    <mergeCell ref="CK38:CN38"/>
    <mergeCell ref="CO38:CU38"/>
    <mergeCell ref="CV38:CY38"/>
    <mergeCell ref="CZ36:DD36"/>
    <mergeCell ref="CA37:CB37"/>
    <mergeCell ref="CC37:CE37"/>
    <mergeCell ref="CF37:CJ37"/>
    <mergeCell ref="CK37:CN37"/>
    <mergeCell ref="CO37:CU37"/>
    <mergeCell ref="CV37:CY37"/>
    <mergeCell ref="CZ37:DD37"/>
    <mergeCell ref="CA36:CB36"/>
    <mergeCell ref="CC36:CE36"/>
    <mergeCell ref="CF36:CJ36"/>
    <mergeCell ref="CK36:CN36"/>
    <mergeCell ref="CO36:CU36"/>
    <mergeCell ref="CV36:CY36"/>
    <mergeCell ref="CZ34:DD34"/>
    <mergeCell ref="CA35:CB35"/>
    <mergeCell ref="CC35:CE35"/>
    <mergeCell ref="CF35:CJ35"/>
    <mergeCell ref="CK35:CN35"/>
    <mergeCell ref="CO35:CU35"/>
    <mergeCell ref="CV35:CY35"/>
    <mergeCell ref="CZ35:DD35"/>
    <mergeCell ref="CA34:CB34"/>
    <mergeCell ref="CC34:CE34"/>
    <mergeCell ref="CF34:CJ34"/>
    <mergeCell ref="CK34:CN34"/>
    <mergeCell ref="CO34:CU34"/>
    <mergeCell ref="CV34:CY34"/>
    <mergeCell ref="CZ32:DD32"/>
    <mergeCell ref="CA33:CB33"/>
    <mergeCell ref="CC33:CE33"/>
    <mergeCell ref="CF33:CJ33"/>
    <mergeCell ref="CK33:CN33"/>
    <mergeCell ref="CO33:CU33"/>
    <mergeCell ref="CV33:CY33"/>
    <mergeCell ref="CZ33:DD33"/>
    <mergeCell ref="CA32:CB32"/>
    <mergeCell ref="CC32:CE32"/>
    <mergeCell ref="CF32:CJ32"/>
    <mergeCell ref="CK32:CN32"/>
    <mergeCell ref="CO32:CU32"/>
    <mergeCell ref="CV32:CY32"/>
    <mergeCell ref="CZ30:DD30"/>
    <mergeCell ref="CA31:CB31"/>
    <mergeCell ref="CC31:CE31"/>
    <mergeCell ref="CF31:CJ31"/>
    <mergeCell ref="CK31:CN31"/>
    <mergeCell ref="CO31:CU31"/>
    <mergeCell ref="CV31:CY31"/>
    <mergeCell ref="CZ31:DD31"/>
    <mergeCell ref="CA30:CB30"/>
    <mergeCell ref="CC30:CE30"/>
    <mergeCell ref="CF30:CJ30"/>
    <mergeCell ref="CK30:CN30"/>
    <mergeCell ref="CO30:CU30"/>
    <mergeCell ref="CV30:CY30"/>
    <mergeCell ref="CZ28:DD28"/>
    <mergeCell ref="CA29:CB29"/>
    <mergeCell ref="CC29:CE29"/>
    <mergeCell ref="CF29:CJ29"/>
    <mergeCell ref="CK29:CN29"/>
    <mergeCell ref="CO29:CU29"/>
    <mergeCell ref="CV29:CY29"/>
    <mergeCell ref="CZ29:DD29"/>
    <mergeCell ref="CA28:CB28"/>
    <mergeCell ref="CC28:CE28"/>
    <mergeCell ref="CF28:CJ28"/>
    <mergeCell ref="CK28:CN28"/>
    <mergeCell ref="CO28:CU28"/>
    <mergeCell ref="CV28:CY28"/>
    <mergeCell ref="CZ26:DD26"/>
    <mergeCell ref="CA27:CB27"/>
    <mergeCell ref="CC27:CE27"/>
    <mergeCell ref="CF27:CJ27"/>
    <mergeCell ref="CK27:CN27"/>
    <mergeCell ref="CO27:CU27"/>
    <mergeCell ref="CV27:CY27"/>
    <mergeCell ref="CZ27:DD27"/>
    <mergeCell ref="CA26:CB26"/>
    <mergeCell ref="CC26:CE26"/>
    <mergeCell ref="CF26:CJ26"/>
    <mergeCell ref="CK26:CN26"/>
    <mergeCell ref="CO26:CU26"/>
    <mergeCell ref="CV26:CY26"/>
    <mergeCell ref="CZ24:DD24"/>
    <mergeCell ref="CA25:CB25"/>
    <mergeCell ref="CC25:CE25"/>
    <mergeCell ref="CF25:CJ25"/>
    <mergeCell ref="CK25:CN25"/>
    <mergeCell ref="CO25:CU25"/>
    <mergeCell ref="CV25:CY25"/>
    <mergeCell ref="CZ25:DD25"/>
    <mergeCell ref="CA24:CB24"/>
    <mergeCell ref="CC24:CE24"/>
    <mergeCell ref="CF24:CJ24"/>
    <mergeCell ref="CK24:CN24"/>
    <mergeCell ref="CO24:CU24"/>
    <mergeCell ref="CV24:CY24"/>
    <mergeCell ref="CZ22:DD22"/>
    <mergeCell ref="CA23:CB23"/>
    <mergeCell ref="CC23:CE23"/>
    <mergeCell ref="CF23:CJ23"/>
    <mergeCell ref="CK23:CN23"/>
    <mergeCell ref="CO23:CU23"/>
    <mergeCell ref="CV23:CY23"/>
    <mergeCell ref="CZ23:DD23"/>
    <mergeCell ref="CA22:CB22"/>
    <mergeCell ref="CC22:CE22"/>
    <mergeCell ref="CF22:CJ22"/>
    <mergeCell ref="CK22:CN22"/>
    <mergeCell ref="CO22:CU22"/>
    <mergeCell ref="CV22:CY22"/>
    <mergeCell ref="CZ20:DD20"/>
    <mergeCell ref="CA21:CB21"/>
    <mergeCell ref="CC21:CE21"/>
    <mergeCell ref="CF21:CJ21"/>
    <mergeCell ref="CK21:CN21"/>
    <mergeCell ref="CO21:CU21"/>
    <mergeCell ref="CV21:CY21"/>
    <mergeCell ref="CZ21:DD21"/>
    <mergeCell ref="CA20:CB20"/>
    <mergeCell ref="CC20:CE20"/>
    <mergeCell ref="CF20:CJ20"/>
    <mergeCell ref="CK20:CN20"/>
    <mergeCell ref="CO20:CU20"/>
    <mergeCell ref="CV20:CY20"/>
    <mergeCell ref="CZ18:DD18"/>
    <mergeCell ref="CA19:CB19"/>
    <mergeCell ref="CC19:CE19"/>
    <mergeCell ref="CF19:CJ19"/>
    <mergeCell ref="CK19:CN19"/>
    <mergeCell ref="CO19:CU19"/>
    <mergeCell ref="CV19:CY19"/>
    <mergeCell ref="CZ19:DD19"/>
    <mergeCell ref="CA18:CB18"/>
    <mergeCell ref="CC18:CE18"/>
    <mergeCell ref="CF18:CJ18"/>
    <mergeCell ref="CK18:CN18"/>
    <mergeCell ref="CO18:CU18"/>
    <mergeCell ref="CV18:CY18"/>
    <mergeCell ref="CZ16:DD16"/>
    <mergeCell ref="CA17:CB17"/>
    <mergeCell ref="CC17:CE17"/>
    <mergeCell ref="CF17:CJ17"/>
    <mergeCell ref="CK17:CN17"/>
    <mergeCell ref="CO17:CU17"/>
    <mergeCell ref="CV17:CY17"/>
    <mergeCell ref="CZ17:DD17"/>
    <mergeCell ref="CA16:CB16"/>
    <mergeCell ref="CC16:CE16"/>
    <mergeCell ref="CF16:CJ16"/>
    <mergeCell ref="CK16:CN16"/>
    <mergeCell ref="CO16:CU16"/>
    <mergeCell ref="CV16:CY16"/>
    <mergeCell ref="CZ14:DD14"/>
    <mergeCell ref="CA15:CB15"/>
    <mergeCell ref="CC15:CE15"/>
    <mergeCell ref="CF15:CJ15"/>
    <mergeCell ref="CK15:CN15"/>
    <mergeCell ref="CO15:CU15"/>
    <mergeCell ref="CV15:CY15"/>
    <mergeCell ref="CZ15:DD15"/>
    <mergeCell ref="CA14:CB14"/>
    <mergeCell ref="CC14:CE14"/>
    <mergeCell ref="CF14:CJ14"/>
    <mergeCell ref="CK14:CN14"/>
    <mergeCell ref="CO14:CU14"/>
    <mergeCell ref="CV14:CY14"/>
    <mergeCell ref="CZ12:DD12"/>
    <mergeCell ref="CA13:CB13"/>
    <mergeCell ref="CC13:CE13"/>
    <mergeCell ref="CF13:CJ13"/>
    <mergeCell ref="CK13:CN13"/>
    <mergeCell ref="CO13:CU13"/>
    <mergeCell ref="CV13:CY13"/>
    <mergeCell ref="CZ13:DD13"/>
    <mergeCell ref="CA12:CB12"/>
    <mergeCell ref="CC12:CE12"/>
    <mergeCell ref="CF12:CJ12"/>
    <mergeCell ref="CK12:CN12"/>
    <mergeCell ref="CO12:CU12"/>
    <mergeCell ref="CV12:CY12"/>
    <mergeCell ref="CA9:CD9"/>
    <mergeCell ref="CF9:DD9"/>
    <mergeCell ref="CA11:CB11"/>
    <mergeCell ref="CC11:CE11"/>
    <mergeCell ref="CF11:CJ11"/>
    <mergeCell ref="CK11:CN11"/>
    <mergeCell ref="CO11:CU11"/>
    <mergeCell ref="CV11:CY11"/>
    <mergeCell ref="CZ11:DD11"/>
    <mergeCell ref="CA1:DD1"/>
    <mergeCell ref="CA2:DD2"/>
    <mergeCell ref="CA3:DD3"/>
    <mergeCell ref="CA4:DD4"/>
    <mergeCell ref="CW6:CY6"/>
    <mergeCell ref="DA6:DD6"/>
    <mergeCell ref="CA7:DD7"/>
  </mergeCells>
  <pageMargins left="0.70866141732283472" right="0.70866141732283472" top="0.74803149606299213" bottom="0.74803149606299213" header="0.31496062992125984" footer="0.31496062992125984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8EAED-70ED-4692-B83D-2E8A7D3BDA37}">
  <dimension ref="A1:DY79"/>
  <sheetViews>
    <sheetView topLeftCell="CA9" workbookViewId="0">
      <selection activeCell="DF1" sqref="DF1:DN1048576"/>
    </sheetView>
  </sheetViews>
  <sheetFormatPr defaultColWidth="2.88671875" defaultRowHeight="14.4" x14ac:dyDescent="0.3"/>
  <cols>
    <col min="1" max="1" width="5.44140625" hidden="1" customWidth="1"/>
    <col min="2" max="73" width="2.88671875" hidden="1" customWidth="1"/>
    <col min="74" max="74" width="10.33203125" hidden="1" customWidth="1"/>
    <col min="75" max="75" width="9.33203125" hidden="1" customWidth="1"/>
    <col min="76" max="77" width="5" hidden="1" customWidth="1"/>
    <col min="78" max="78" width="2.88671875" hidden="1" customWidth="1"/>
  </cols>
  <sheetData>
    <row r="1" spans="74:129" x14ac:dyDescent="0.3">
      <c r="CA1" s="1" t="s">
        <v>0</v>
      </c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</row>
    <row r="2" spans="74:129" ht="15" customHeight="1" x14ac:dyDescent="0.3">
      <c r="CA2" s="1" t="s">
        <v>20</v>
      </c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</row>
    <row r="3" spans="74:129" ht="15" customHeight="1" x14ac:dyDescent="0.3">
      <c r="CA3" s="1" t="s">
        <v>21</v>
      </c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</row>
    <row r="4" spans="74:129" ht="15" customHeight="1" x14ac:dyDescent="0.3">
      <c r="CA4" s="1" t="s">
        <v>22</v>
      </c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</row>
    <row r="5" spans="74:129" ht="15.75" customHeight="1" x14ac:dyDescent="0.3"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</row>
    <row r="6" spans="74:129" ht="15" customHeight="1" x14ac:dyDescent="0.3">
      <c r="CW6" s="1" t="s">
        <v>2</v>
      </c>
      <c r="CX6" s="1"/>
      <c r="CY6" s="1"/>
      <c r="CZ6" t="s">
        <v>3</v>
      </c>
      <c r="DA6" s="1" t="s">
        <v>23</v>
      </c>
      <c r="DB6" s="1"/>
      <c r="DC6" s="1"/>
      <c r="DD6" s="1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</row>
    <row r="7" spans="74:129" ht="15" customHeight="1" x14ac:dyDescent="0.3">
      <c r="CA7" s="2" t="s">
        <v>18</v>
      </c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</row>
    <row r="9" spans="74:129" x14ac:dyDescent="0.3">
      <c r="CA9" s="3" t="s">
        <v>5</v>
      </c>
      <c r="CB9" s="3"/>
      <c r="CC9" s="3"/>
      <c r="CD9" s="3"/>
      <c r="CE9" t="s">
        <v>3</v>
      </c>
      <c r="CF9" s="17" t="s">
        <v>79</v>
      </c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</row>
    <row r="11" spans="74:129" s="18" customFormat="1" ht="23.25" customHeight="1" x14ac:dyDescent="0.3">
      <c r="CA11" s="19" t="s">
        <v>1</v>
      </c>
      <c r="CB11" s="19"/>
      <c r="CC11" s="19" t="s">
        <v>6</v>
      </c>
      <c r="CD11" s="19"/>
      <c r="CE11" s="19"/>
      <c r="CF11" s="19" t="s">
        <v>7</v>
      </c>
      <c r="CG11" s="19"/>
      <c r="CH11" s="19"/>
      <c r="CI11" s="19"/>
      <c r="CJ11" s="19"/>
      <c r="CK11" s="19" t="s">
        <v>8</v>
      </c>
      <c r="CL11" s="19"/>
      <c r="CM11" s="19"/>
      <c r="CN11" s="19"/>
      <c r="CO11" s="19" t="s">
        <v>14</v>
      </c>
      <c r="CP11" s="19"/>
      <c r="CQ11" s="19"/>
      <c r="CR11" s="19"/>
      <c r="CS11" s="19"/>
      <c r="CT11" s="19"/>
      <c r="CU11" s="19"/>
      <c r="CV11" s="19" t="s">
        <v>10</v>
      </c>
      <c r="CW11" s="19"/>
      <c r="CX11" s="19"/>
      <c r="CY11" s="19"/>
      <c r="CZ11" s="19" t="s">
        <v>11</v>
      </c>
      <c r="DA11" s="19"/>
      <c r="DB11" s="19"/>
      <c r="DC11" s="19"/>
      <c r="DD11" s="19"/>
    </row>
    <row r="12" spans="74:129" s="18" customFormat="1" ht="24" customHeight="1" x14ac:dyDescent="0.3">
      <c r="BV12" s="18" t="e">
        <f>COUNTIF($BW$12:BW12,BW12)&amp;BW12</f>
        <v>#REF!</v>
      </c>
      <c r="BW12" s="18" t="e">
        <f>BX12&amp;BY12</f>
        <v>#REF!</v>
      </c>
      <c r="BX12" s="18" t="e">
        <f>#REF!</f>
        <v>#REF!</v>
      </c>
      <c r="BY12" s="18" t="e">
        <f>#REF!</f>
        <v>#REF!</v>
      </c>
      <c r="CA12" s="20">
        <v>2025</v>
      </c>
      <c r="CB12" s="20"/>
      <c r="CC12" s="20" t="s">
        <v>13</v>
      </c>
      <c r="CD12" s="20"/>
      <c r="CE12" s="20"/>
      <c r="CF12" s="21">
        <v>100104141619</v>
      </c>
      <c r="CG12" s="21"/>
      <c r="CH12" s="21"/>
      <c r="CI12" s="21"/>
      <c r="CJ12" s="21"/>
      <c r="CK12" s="20" t="s">
        <v>71</v>
      </c>
      <c r="CL12" s="20"/>
      <c r="CM12" s="20"/>
      <c r="CN12" s="20"/>
      <c r="CO12" s="22" t="s">
        <v>72</v>
      </c>
      <c r="CP12" s="22"/>
      <c r="CQ12" s="22"/>
      <c r="CR12" s="22"/>
      <c r="CS12" s="22"/>
      <c r="CT12" s="22"/>
      <c r="CU12" s="22"/>
      <c r="CV12" s="23">
        <v>3098.64</v>
      </c>
      <c r="CW12" s="23"/>
      <c r="CX12" s="23"/>
      <c r="CY12" s="23"/>
      <c r="CZ12" s="24">
        <v>23134.87</v>
      </c>
      <c r="DA12" s="24"/>
      <c r="DB12" s="24"/>
      <c r="DC12" s="24"/>
      <c r="DD12" s="24"/>
    </row>
    <row r="13" spans="74:129" s="18" customFormat="1" ht="24" customHeight="1" x14ac:dyDescent="0.3">
      <c r="BV13" s="18" t="e">
        <f>COUNTIF($BW$12:BW13,BW13)&amp;BW13</f>
        <v>#REF!</v>
      </c>
      <c r="BW13" s="18" t="e">
        <f t="shared" ref="BW13:BW19" si="0">BX13&amp;BY13</f>
        <v>#REF!</v>
      </c>
      <c r="BX13" s="18" t="e">
        <f>#REF!</f>
        <v>#REF!</v>
      </c>
      <c r="BY13" s="18" t="e">
        <f>#REF!</f>
        <v>#REF!</v>
      </c>
      <c r="CA13" s="20">
        <v>2025</v>
      </c>
      <c r="CB13" s="20"/>
      <c r="CC13" s="20" t="s">
        <v>13</v>
      </c>
      <c r="CD13" s="20"/>
      <c r="CE13" s="20"/>
      <c r="CF13" s="21">
        <v>100104141620</v>
      </c>
      <c r="CG13" s="21"/>
      <c r="CH13" s="21"/>
      <c r="CI13" s="21"/>
      <c r="CJ13" s="21"/>
      <c r="CK13" s="20" t="s">
        <v>71</v>
      </c>
      <c r="CL13" s="20"/>
      <c r="CM13" s="20"/>
      <c r="CN13" s="20"/>
      <c r="CO13" s="22" t="s">
        <v>73</v>
      </c>
      <c r="CP13" s="22"/>
      <c r="CQ13" s="22"/>
      <c r="CR13" s="22"/>
      <c r="CS13" s="22"/>
      <c r="CT13" s="22"/>
      <c r="CU13" s="22"/>
      <c r="CV13" s="23">
        <v>3602.88</v>
      </c>
      <c r="CW13" s="23"/>
      <c r="CX13" s="23"/>
      <c r="CY13" s="23"/>
      <c r="CZ13" s="24">
        <v>22730.13</v>
      </c>
      <c r="DA13" s="24"/>
      <c r="DB13" s="24"/>
      <c r="DC13" s="24"/>
      <c r="DD13" s="24"/>
    </row>
    <row r="14" spans="74:129" s="18" customFormat="1" ht="24" customHeight="1" x14ac:dyDescent="0.3">
      <c r="BV14" s="18" t="e">
        <f>COUNTIF($BW$12:BW14,BW14)&amp;BW14</f>
        <v>#REF!</v>
      </c>
      <c r="BW14" s="18" t="e">
        <f t="shared" si="0"/>
        <v>#REF!</v>
      </c>
      <c r="BX14" s="18" t="e">
        <f>#REF!</f>
        <v>#REF!</v>
      </c>
      <c r="BY14" s="18" t="e">
        <f>#REF!</f>
        <v>#REF!</v>
      </c>
      <c r="CA14" s="20">
        <v>2025</v>
      </c>
      <c r="CB14" s="20"/>
      <c r="CC14" s="20" t="s">
        <v>13</v>
      </c>
      <c r="CD14" s="20"/>
      <c r="CE14" s="20"/>
      <c r="CF14" s="21">
        <v>194975</v>
      </c>
      <c r="CG14" s="21"/>
      <c r="CH14" s="21"/>
      <c r="CI14" s="21"/>
      <c r="CJ14" s="21"/>
      <c r="CK14" s="20" t="s">
        <v>74</v>
      </c>
      <c r="CL14" s="20"/>
      <c r="CM14" s="20"/>
      <c r="CN14" s="20"/>
      <c r="CO14" s="22" t="s">
        <v>75</v>
      </c>
      <c r="CP14" s="22"/>
      <c r="CQ14" s="22"/>
      <c r="CR14" s="22"/>
      <c r="CS14" s="22"/>
      <c r="CT14" s="22"/>
      <c r="CU14" s="22"/>
      <c r="CV14" s="23">
        <v>1589.32</v>
      </c>
      <c r="CW14" s="23"/>
      <c r="CX14" s="23"/>
      <c r="CY14" s="23"/>
      <c r="CZ14" s="24">
        <v>2985.17</v>
      </c>
      <c r="DA14" s="24"/>
      <c r="DB14" s="24"/>
      <c r="DC14" s="24"/>
      <c r="DD14" s="24"/>
    </row>
    <row r="15" spans="74:129" s="18" customFormat="1" ht="24" customHeight="1" x14ac:dyDescent="0.3">
      <c r="BV15" s="18" t="e">
        <f>COUNTIF($BW$12:BW15,BW15)&amp;BW15</f>
        <v>#REF!</v>
      </c>
      <c r="BW15" s="18" t="e">
        <f t="shared" si="0"/>
        <v>#REF!</v>
      </c>
      <c r="BX15" s="18" t="e">
        <f>#REF!</f>
        <v>#REF!</v>
      </c>
      <c r="BY15" s="18" t="e">
        <f>#REF!</f>
        <v>#REF!</v>
      </c>
      <c r="CA15" s="20">
        <v>2025</v>
      </c>
      <c r="CB15" s="20"/>
      <c r="CC15" s="20" t="s">
        <v>13</v>
      </c>
      <c r="CD15" s="20"/>
      <c r="CE15" s="20"/>
      <c r="CF15" s="21">
        <v>165544</v>
      </c>
      <c r="CG15" s="21"/>
      <c r="CH15" s="21"/>
      <c r="CI15" s="21"/>
      <c r="CJ15" s="21"/>
      <c r="CK15" s="20" t="s">
        <v>74</v>
      </c>
      <c r="CL15" s="20"/>
      <c r="CM15" s="20"/>
      <c r="CN15" s="20"/>
      <c r="CO15" s="22" t="s">
        <v>76</v>
      </c>
      <c r="CP15" s="22"/>
      <c r="CQ15" s="22"/>
      <c r="CR15" s="22"/>
      <c r="CS15" s="22"/>
      <c r="CT15" s="22"/>
      <c r="CU15" s="22"/>
      <c r="CV15" s="23">
        <v>53602.41</v>
      </c>
      <c r="CW15" s="23"/>
      <c r="CX15" s="23"/>
      <c r="CY15" s="23"/>
      <c r="CZ15" s="24">
        <v>106813.98</v>
      </c>
      <c r="DA15" s="24"/>
      <c r="DB15" s="24"/>
      <c r="DC15" s="24"/>
      <c r="DD15" s="24"/>
    </row>
    <row r="16" spans="74:129" s="18" customFormat="1" ht="24" customHeight="1" x14ac:dyDescent="0.3">
      <c r="BV16" s="18" t="e">
        <f>COUNTIF($BW$12:BW16,BW16)&amp;BW16</f>
        <v>#REF!</v>
      </c>
      <c r="BW16" s="18" t="e">
        <f t="shared" si="0"/>
        <v>#REF!</v>
      </c>
      <c r="BX16" s="18" t="e">
        <f>#REF!</f>
        <v>#REF!</v>
      </c>
      <c r="BY16" s="18" t="e">
        <f>#REF!</f>
        <v>#REF!</v>
      </c>
      <c r="CA16" s="20">
        <v>2025</v>
      </c>
      <c r="CB16" s="20"/>
      <c r="CC16" s="20" t="s">
        <v>13</v>
      </c>
      <c r="CD16" s="20"/>
      <c r="CE16" s="20"/>
      <c r="CF16" s="21">
        <v>167440</v>
      </c>
      <c r="CG16" s="21"/>
      <c r="CH16" s="21"/>
      <c r="CI16" s="21"/>
      <c r="CJ16" s="21"/>
      <c r="CK16" s="20" t="s">
        <v>74</v>
      </c>
      <c r="CL16" s="20"/>
      <c r="CM16" s="20"/>
      <c r="CN16" s="20"/>
      <c r="CO16" s="22" t="s">
        <v>77</v>
      </c>
      <c r="CP16" s="22"/>
      <c r="CQ16" s="22"/>
      <c r="CR16" s="22"/>
      <c r="CS16" s="22"/>
      <c r="CT16" s="22"/>
      <c r="CU16" s="22"/>
      <c r="CV16" s="23">
        <v>42862.06</v>
      </c>
      <c r="CW16" s="23"/>
      <c r="CX16" s="23"/>
      <c r="CY16" s="23"/>
      <c r="CZ16" s="24">
        <v>87535.19</v>
      </c>
      <c r="DA16" s="24"/>
      <c r="DB16" s="24"/>
      <c r="DC16" s="24"/>
      <c r="DD16" s="24"/>
    </row>
    <row r="17" spans="74:108" s="18" customFormat="1" ht="24" customHeight="1" x14ac:dyDescent="0.3">
      <c r="BV17" s="18" t="e">
        <f>COUNTIF($BW$12:BW17,BW17)&amp;BW17</f>
        <v>#REF!</v>
      </c>
      <c r="BW17" s="18" t="e">
        <f t="shared" si="0"/>
        <v>#REF!</v>
      </c>
      <c r="BX17" s="18" t="e">
        <f>#REF!</f>
        <v>#REF!</v>
      </c>
      <c r="BY17" s="18" t="e">
        <f>#REF!</f>
        <v>#REF!</v>
      </c>
      <c r="CA17" s="20" t="s">
        <v>78</v>
      </c>
      <c r="CB17" s="20"/>
      <c r="CC17" s="20" t="s">
        <v>78</v>
      </c>
      <c r="CD17" s="20"/>
      <c r="CE17" s="20"/>
      <c r="CF17" s="21" t="s">
        <v>78</v>
      </c>
      <c r="CG17" s="21"/>
      <c r="CH17" s="21"/>
      <c r="CI17" s="21"/>
      <c r="CJ17" s="21"/>
      <c r="CK17" s="20" t="s">
        <v>78</v>
      </c>
      <c r="CL17" s="20"/>
      <c r="CM17" s="20"/>
      <c r="CN17" s="20"/>
      <c r="CO17" s="22" t="s">
        <v>78</v>
      </c>
      <c r="CP17" s="22"/>
      <c r="CQ17" s="22"/>
      <c r="CR17" s="22"/>
      <c r="CS17" s="22"/>
      <c r="CT17" s="22"/>
      <c r="CU17" s="22"/>
      <c r="CV17" s="23" t="s">
        <v>78</v>
      </c>
      <c r="CW17" s="23"/>
      <c r="CX17" s="23"/>
      <c r="CY17" s="23"/>
      <c r="CZ17" s="24" t="s">
        <v>78</v>
      </c>
      <c r="DA17" s="24"/>
      <c r="DB17" s="24"/>
      <c r="DC17" s="24"/>
      <c r="DD17" s="24"/>
    </row>
    <row r="18" spans="74:108" s="18" customFormat="1" ht="24" customHeight="1" x14ac:dyDescent="0.3">
      <c r="BV18" s="18" t="e">
        <f>COUNTIF($BW$12:BW18,BW18)&amp;BW18</f>
        <v>#REF!</v>
      </c>
      <c r="BW18" s="18" t="e">
        <f t="shared" si="0"/>
        <v>#REF!</v>
      </c>
      <c r="BX18" s="18" t="e">
        <f>#REF!</f>
        <v>#REF!</v>
      </c>
      <c r="BY18" s="18" t="e">
        <f>#REF!</f>
        <v>#REF!</v>
      </c>
      <c r="CA18" s="20" t="s">
        <v>78</v>
      </c>
      <c r="CB18" s="20"/>
      <c r="CC18" s="20" t="s">
        <v>78</v>
      </c>
      <c r="CD18" s="20"/>
      <c r="CE18" s="20"/>
      <c r="CF18" s="21" t="s">
        <v>78</v>
      </c>
      <c r="CG18" s="21"/>
      <c r="CH18" s="21"/>
      <c r="CI18" s="21"/>
      <c r="CJ18" s="21"/>
      <c r="CK18" s="20"/>
      <c r="CL18" s="20"/>
      <c r="CM18" s="20"/>
      <c r="CN18" s="20"/>
      <c r="CO18" s="22" t="s">
        <v>78</v>
      </c>
      <c r="CP18" s="22"/>
      <c r="CQ18" s="22"/>
      <c r="CR18" s="22"/>
      <c r="CS18" s="22"/>
      <c r="CT18" s="22"/>
      <c r="CU18" s="22"/>
      <c r="CV18" s="23" t="s">
        <v>78</v>
      </c>
      <c r="CW18" s="23"/>
      <c r="CX18" s="23"/>
      <c r="CY18" s="23"/>
      <c r="CZ18" s="24" t="s">
        <v>78</v>
      </c>
      <c r="DA18" s="24"/>
      <c r="DB18" s="24"/>
      <c r="DC18" s="24"/>
      <c r="DD18" s="24"/>
    </row>
    <row r="19" spans="74:108" s="18" customFormat="1" ht="24" customHeight="1" x14ac:dyDescent="0.3">
      <c r="BV19" s="18" t="e">
        <f>COUNTIF($BW$12:BW19,BW19)&amp;BW19</f>
        <v>#REF!</v>
      </c>
      <c r="BW19" s="18" t="e">
        <f t="shared" si="0"/>
        <v>#REF!</v>
      </c>
      <c r="BX19" s="18" t="e">
        <f>#REF!</f>
        <v>#REF!</v>
      </c>
      <c r="BY19" s="18" t="e">
        <f>#REF!</f>
        <v>#REF!</v>
      </c>
      <c r="CA19" s="20" t="s">
        <v>78</v>
      </c>
      <c r="CB19" s="20"/>
      <c r="CC19" s="20" t="s">
        <v>78</v>
      </c>
      <c r="CD19" s="20"/>
      <c r="CE19" s="20"/>
      <c r="CF19" s="21" t="s">
        <v>78</v>
      </c>
      <c r="CG19" s="21"/>
      <c r="CH19" s="21"/>
      <c r="CI19" s="21"/>
      <c r="CJ19" s="21"/>
      <c r="CK19" s="20"/>
      <c r="CL19" s="20"/>
      <c r="CM19" s="20"/>
      <c r="CN19" s="20"/>
      <c r="CO19" s="22" t="s">
        <v>78</v>
      </c>
      <c r="CP19" s="22"/>
      <c r="CQ19" s="22"/>
      <c r="CR19" s="22"/>
      <c r="CS19" s="22"/>
      <c r="CT19" s="22"/>
      <c r="CU19" s="22"/>
      <c r="CV19" s="23" t="s">
        <v>78</v>
      </c>
      <c r="CW19" s="23"/>
      <c r="CX19" s="23"/>
      <c r="CY19" s="23"/>
      <c r="CZ19" s="24" t="s">
        <v>78</v>
      </c>
      <c r="DA19" s="24"/>
      <c r="DB19" s="24"/>
      <c r="DC19" s="24"/>
      <c r="DD19" s="24"/>
    </row>
    <row r="20" spans="74:108" ht="24" customHeight="1" x14ac:dyDescent="0.3">
      <c r="CA20" s="25" t="s">
        <v>12</v>
      </c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4">
        <v>243199.34</v>
      </c>
      <c r="DA20" s="24"/>
      <c r="DB20" s="24"/>
      <c r="DC20" s="24"/>
      <c r="DD20" s="24"/>
    </row>
    <row r="21" spans="74:108" x14ac:dyDescent="0.3">
      <c r="CA21" s="17"/>
      <c r="CB21" s="17"/>
      <c r="CC21" s="17"/>
      <c r="CD21" s="17"/>
      <c r="CE21" s="17"/>
      <c r="CF21" s="26"/>
      <c r="CG21" s="26"/>
      <c r="CH21" s="26"/>
      <c r="CI21" s="26"/>
      <c r="CJ21" s="26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27"/>
      <c r="CW21" s="27"/>
      <c r="CX21" s="27"/>
      <c r="CY21" s="27"/>
      <c r="CZ21" s="28"/>
      <c r="DA21" s="28"/>
      <c r="DB21" s="28"/>
      <c r="DC21" s="28"/>
      <c r="DD21" s="28"/>
    </row>
    <row r="22" spans="74:108" x14ac:dyDescent="0.3">
      <c r="CA22" s="17"/>
      <c r="CB22" s="17"/>
      <c r="CC22" s="17"/>
      <c r="CD22" s="17"/>
      <c r="CE22" s="17"/>
      <c r="CF22" s="26"/>
      <c r="CG22" s="26"/>
      <c r="CH22" s="26"/>
      <c r="CI22" s="26"/>
      <c r="CJ22" s="26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27"/>
      <c r="CW22" s="27"/>
      <c r="CX22" s="27"/>
      <c r="CY22" s="27"/>
      <c r="CZ22" s="28"/>
      <c r="DA22" s="28"/>
      <c r="DB22" s="28"/>
      <c r="DC22" s="28"/>
      <c r="DD22" s="28"/>
    </row>
    <row r="23" spans="74:108" x14ac:dyDescent="0.3">
      <c r="CA23" s="17"/>
      <c r="CB23" s="17"/>
      <c r="CC23" s="17"/>
      <c r="CD23" s="17"/>
      <c r="CE23" s="17"/>
      <c r="CF23" s="26"/>
      <c r="CG23" s="26"/>
      <c r="CH23" s="26"/>
      <c r="CI23" s="26"/>
      <c r="CJ23" s="26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27"/>
      <c r="CW23" s="27"/>
      <c r="CX23" s="27"/>
      <c r="CY23" s="27"/>
      <c r="CZ23" s="28"/>
      <c r="DA23" s="28"/>
      <c r="DB23" s="28"/>
      <c r="DC23" s="28"/>
      <c r="DD23" s="28"/>
    </row>
    <row r="24" spans="74:108" x14ac:dyDescent="0.3">
      <c r="CA24" s="17"/>
      <c r="CB24" s="17"/>
      <c r="CC24" s="17"/>
      <c r="CD24" s="17"/>
      <c r="CE24" s="17"/>
      <c r="CF24" s="26"/>
      <c r="CG24" s="26"/>
      <c r="CH24" s="26"/>
      <c r="CI24" s="26"/>
      <c r="CJ24" s="26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27"/>
      <c r="CW24" s="27"/>
      <c r="CX24" s="27"/>
      <c r="CY24" s="27"/>
      <c r="CZ24" s="28"/>
      <c r="DA24" s="28"/>
      <c r="DB24" s="28"/>
      <c r="DC24" s="28"/>
      <c r="DD24" s="28"/>
    </row>
    <row r="25" spans="74:108" x14ac:dyDescent="0.3">
      <c r="CA25" s="17"/>
      <c r="CB25" s="17"/>
      <c r="CC25" s="17"/>
      <c r="CD25" s="17"/>
      <c r="CE25" s="17"/>
      <c r="CF25" s="26"/>
      <c r="CG25" s="26"/>
      <c r="CH25" s="26"/>
      <c r="CI25" s="26"/>
      <c r="CJ25" s="26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27"/>
      <c r="CW25" s="27"/>
      <c r="CX25" s="27"/>
      <c r="CY25" s="27"/>
      <c r="CZ25" s="28"/>
      <c r="DA25" s="28"/>
      <c r="DB25" s="28"/>
      <c r="DC25" s="28"/>
      <c r="DD25" s="28"/>
    </row>
    <row r="26" spans="74:108" x14ac:dyDescent="0.3">
      <c r="CA26" s="17"/>
      <c r="CB26" s="17"/>
      <c r="CC26" s="17"/>
      <c r="CD26" s="17"/>
      <c r="CE26" s="17"/>
      <c r="CF26" s="26"/>
      <c r="CG26" s="26"/>
      <c r="CH26" s="26"/>
      <c r="CI26" s="26"/>
      <c r="CJ26" s="26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27"/>
      <c r="CW26" s="27"/>
      <c r="CX26" s="27"/>
      <c r="CY26" s="27"/>
      <c r="CZ26" s="28"/>
      <c r="DA26" s="28"/>
      <c r="DB26" s="28"/>
      <c r="DC26" s="28"/>
      <c r="DD26" s="28"/>
    </row>
    <row r="27" spans="74:108" x14ac:dyDescent="0.3">
      <c r="CA27" s="17"/>
      <c r="CB27" s="17"/>
      <c r="CC27" s="17"/>
      <c r="CD27" s="17"/>
      <c r="CE27" s="17"/>
      <c r="CF27" s="26"/>
      <c r="CG27" s="26"/>
      <c r="CH27" s="26"/>
      <c r="CI27" s="26"/>
      <c r="CJ27" s="26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27"/>
      <c r="CW27" s="27"/>
      <c r="CX27" s="27"/>
      <c r="CY27" s="27"/>
      <c r="CZ27" s="28"/>
      <c r="DA27" s="28"/>
      <c r="DB27" s="28"/>
      <c r="DC27" s="28"/>
      <c r="DD27" s="28"/>
    </row>
    <row r="28" spans="74:108" x14ac:dyDescent="0.3">
      <c r="CA28" s="17"/>
      <c r="CB28" s="17"/>
      <c r="CC28" s="17"/>
      <c r="CD28" s="17"/>
      <c r="CE28" s="17"/>
      <c r="CF28" s="26"/>
      <c r="CG28" s="26"/>
      <c r="CH28" s="26"/>
      <c r="CI28" s="26"/>
      <c r="CJ28" s="26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27"/>
      <c r="CW28" s="27"/>
      <c r="CX28" s="27"/>
      <c r="CY28" s="27"/>
      <c r="CZ28" s="28"/>
      <c r="DA28" s="28"/>
      <c r="DB28" s="28"/>
      <c r="DC28" s="28"/>
      <c r="DD28" s="28"/>
    </row>
    <row r="29" spans="74:108" x14ac:dyDescent="0.3">
      <c r="CA29" s="17"/>
      <c r="CB29" s="17"/>
      <c r="CC29" s="17"/>
      <c r="CD29" s="17"/>
      <c r="CE29" s="17"/>
      <c r="CF29" s="26"/>
      <c r="CG29" s="26"/>
      <c r="CH29" s="26"/>
      <c r="CI29" s="26"/>
      <c r="CJ29" s="26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27"/>
      <c r="CW29" s="27"/>
      <c r="CX29" s="27"/>
      <c r="CY29" s="27"/>
      <c r="CZ29" s="28"/>
      <c r="DA29" s="28"/>
      <c r="DB29" s="28"/>
      <c r="DC29" s="28"/>
      <c r="DD29" s="28"/>
    </row>
    <row r="30" spans="74:108" x14ac:dyDescent="0.3">
      <c r="CA30" s="17"/>
      <c r="CB30" s="17"/>
      <c r="CC30" s="17"/>
      <c r="CD30" s="17"/>
      <c r="CE30" s="17"/>
      <c r="CF30" s="26"/>
      <c r="CG30" s="26"/>
      <c r="CH30" s="26"/>
      <c r="CI30" s="26"/>
      <c r="CJ30" s="26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27"/>
      <c r="CW30" s="27"/>
      <c r="CX30" s="27"/>
      <c r="CY30" s="27"/>
      <c r="CZ30" s="28"/>
      <c r="DA30" s="28"/>
      <c r="DB30" s="28"/>
      <c r="DC30" s="28"/>
      <c r="DD30" s="28"/>
    </row>
    <row r="31" spans="74:108" x14ac:dyDescent="0.3">
      <c r="CA31" s="17"/>
      <c r="CB31" s="17"/>
      <c r="CC31" s="17"/>
      <c r="CD31" s="17"/>
      <c r="CE31" s="17"/>
      <c r="CF31" s="26"/>
      <c r="CG31" s="26"/>
      <c r="CH31" s="26"/>
      <c r="CI31" s="26"/>
      <c r="CJ31" s="26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27"/>
      <c r="CW31" s="27"/>
      <c r="CX31" s="27"/>
      <c r="CY31" s="27"/>
      <c r="CZ31" s="28"/>
      <c r="DA31" s="28"/>
      <c r="DB31" s="28"/>
      <c r="DC31" s="28"/>
      <c r="DD31" s="28"/>
    </row>
    <row r="32" spans="74:108" x14ac:dyDescent="0.3">
      <c r="CA32" s="17"/>
      <c r="CB32" s="17"/>
      <c r="CC32" s="17"/>
      <c r="CD32" s="17"/>
      <c r="CE32" s="17"/>
      <c r="CF32" s="26"/>
      <c r="CG32" s="26"/>
      <c r="CH32" s="26"/>
      <c r="CI32" s="26"/>
      <c r="CJ32" s="26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27"/>
      <c r="CW32" s="27"/>
      <c r="CX32" s="27"/>
      <c r="CY32" s="27"/>
      <c r="CZ32" s="28"/>
      <c r="DA32" s="28"/>
      <c r="DB32" s="28"/>
      <c r="DC32" s="28"/>
      <c r="DD32" s="28"/>
    </row>
    <row r="33" spans="79:108" x14ac:dyDescent="0.3">
      <c r="CA33" s="17"/>
      <c r="CB33" s="17"/>
      <c r="CC33" s="17"/>
      <c r="CD33" s="17"/>
      <c r="CE33" s="17"/>
      <c r="CF33" s="26"/>
      <c r="CG33" s="26"/>
      <c r="CH33" s="26"/>
      <c r="CI33" s="26"/>
      <c r="CJ33" s="26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27"/>
      <c r="CW33" s="27"/>
      <c r="CX33" s="27"/>
      <c r="CY33" s="27"/>
      <c r="CZ33" s="28"/>
      <c r="DA33" s="28"/>
      <c r="DB33" s="28"/>
      <c r="DC33" s="28"/>
      <c r="DD33" s="28"/>
    </row>
    <row r="34" spans="79:108" x14ac:dyDescent="0.3">
      <c r="CA34" s="17"/>
      <c r="CB34" s="17"/>
      <c r="CC34" s="17"/>
      <c r="CD34" s="17"/>
      <c r="CE34" s="17"/>
      <c r="CF34" s="26"/>
      <c r="CG34" s="26"/>
      <c r="CH34" s="26"/>
      <c r="CI34" s="26"/>
      <c r="CJ34" s="26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27"/>
      <c r="CW34" s="27"/>
      <c r="CX34" s="27"/>
      <c r="CY34" s="27"/>
      <c r="CZ34" s="28"/>
      <c r="DA34" s="28"/>
      <c r="DB34" s="28"/>
      <c r="DC34" s="28"/>
      <c r="DD34" s="28"/>
    </row>
    <row r="35" spans="79:108" x14ac:dyDescent="0.3">
      <c r="CA35" s="17"/>
      <c r="CB35" s="17"/>
      <c r="CC35" s="17"/>
      <c r="CD35" s="17"/>
      <c r="CE35" s="17"/>
      <c r="CF35" s="26"/>
      <c r="CG35" s="26"/>
      <c r="CH35" s="26"/>
      <c r="CI35" s="26"/>
      <c r="CJ35" s="26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27"/>
      <c r="CW35" s="27"/>
      <c r="CX35" s="27"/>
      <c r="CY35" s="27"/>
      <c r="CZ35" s="28"/>
      <c r="DA35" s="28"/>
      <c r="DB35" s="28"/>
      <c r="DC35" s="28"/>
      <c r="DD35" s="28"/>
    </row>
    <row r="36" spans="79:108" x14ac:dyDescent="0.3">
      <c r="CA36" s="17"/>
      <c r="CB36" s="17"/>
      <c r="CC36" s="17"/>
      <c r="CD36" s="17"/>
      <c r="CE36" s="17"/>
      <c r="CF36" s="26"/>
      <c r="CG36" s="26"/>
      <c r="CH36" s="26"/>
      <c r="CI36" s="26"/>
      <c r="CJ36" s="26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27"/>
      <c r="CW36" s="27"/>
      <c r="CX36" s="27"/>
      <c r="CY36" s="27"/>
      <c r="CZ36" s="28"/>
      <c r="DA36" s="28"/>
      <c r="DB36" s="28"/>
      <c r="DC36" s="28"/>
      <c r="DD36" s="28"/>
    </row>
    <row r="37" spans="79:108" x14ac:dyDescent="0.3">
      <c r="CA37" s="17"/>
      <c r="CB37" s="17"/>
      <c r="CC37" s="17"/>
      <c r="CD37" s="17"/>
      <c r="CE37" s="17"/>
      <c r="CF37" s="26"/>
      <c r="CG37" s="26"/>
      <c r="CH37" s="26"/>
      <c r="CI37" s="26"/>
      <c r="CJ37" s="26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27"/>
      <c r="CW37" s="27"/>
      <c r="CX37" s="27"/>
      <c r="CY37" s="27"/>
      <c r="CZ37" s="28"/>
      <c r="DA37" s="28"/>
      <c r="DB37" s="28"/>
      <c r="DC37" s="28"/>
      <c r="DD37" s="28"/>
    </row>
    <row r="38" spans="79:108" x14ac:dyDescent="0.3">
      <c r="CA38" s="17"/>
      <c r="CB38" s="17"/>
      <c r="CC38" s="17"/>
      <c r="CD38" s="17"/>
      <c r="CE38" s="17"/>
      <c r="CF38" s="26"/>
      <c r="CG38" s="26"/>
      <c r="CH38" s="26"/>
      <c r="CI38" s="26"/>
      <c r="CJ38" s="26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27"/>
      <c r="CW38" s="27"/>
      <c r="CX38" s="27"/>
      <c r="CY38" s="27"/>
      <c r="CZ38" s="28"/>
      <c r="DA38" s="28"/>
      <c r="DB38" s="28"/>
      <c r="DC38" s="28"/>
      <c r="DD38" s="28"/>
    </row>
    <row r="39" spans="79:108" x14ac:dyDescent="0.3">
      <c r="CA39" s="17"/>
      <c r="CB39" s="17"/>
      <c r="CC39" s="17"/>
      <c r="CD39" s="17"/>
      <c r="CE39" s="17"/>
      <c r="CF39" s="26"/>
      <c r="CG39" s="26"/>
      <c r="CH39" s="26"/>
      <c r="CI39" s="26"/>
      <c r="CJ39" s="26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27"/>
      <c r="CW39" s="27"/>
      <c r="CX39" s="27"/>
      <c r="CY39" s="27"/>
      <c r="CZ39" s="28"/>
      <c r="DA39" s="28"/>
      <c r="DB39" s="28"/>
      <c r="DC39" s="28"/>
      <c r="DD39" s="28"/>
    </row>
    <row r="40" spans="79:108" x14ac:dyDescent="0.3">
      <c r="CA40" s="17"/>
      <c r="CB40" s="17"/>
      <c r="CC40" s="17"/>
      <c r="CD40" s="17"/>
      <c r="CE40" s="17"/>
      <c r="CF40" s="26"/>
      <c r="CG40" s="26"/>
      <c r="CH40" s="26"/>
      <c r="CI40" s="26"/>
      <c r="CJ40" s="26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27"/>
      <c r="CW40" s="27"/>
      <c r="CX40" s="27"/>
      <c r="CY40" s="27"/>
      <c r="CZ40" s="28"/>
      <c r="DA40" s="28"/>
      <c r="DB40" s="28"/>
      <c r="DC40" s="28"/>
      <c r="DD40" s="28"/>
    </row>
    <row r="41" spans="79:108" x14ac:dyDescent="0.3">
      <c r="CA41" s="17"/>
      <c r="CB41" s="17"/>
      <c r="CC41" s="17"/>
      <c r="CD41" s="17"/>
      <c r="CE41" s="17"/>
      <c r="CF41" s="26"/>
      <c r="CG41" s="26"/>
      <c r="CH41" s="26"/>
      <c r="CI41" s="26"/>
      <c r="CJ41" s="26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27"/>
      <c r="CW41" s="27"/>
      <c r="CX41" s="27"/>
      <c r="CY41" s="27"/>
      <c r="CZ41" s="28"/>
      <c r="DA41" s="28"/>
      <c r="DB41" s="28"/>
      <c r="DC41" s="28"/>
      <c r="DD41" s="28"/>
    </row>
    <row r="42" spans="79:108" x14ac:dyDescent="0.3">
      <c r="CA42" s="17"/>
      <c r="CB42" s="17"/>
      <c r="CC42" s="17"/>
      <c r="CD42" s="17"/>
      <c r="CE42" s="17"/>
      <c r="CF42" s="26"/>
      <c r="CG42" s="26"/>
      <c r="CH42" s="26"/>
      <c r="CI42" s="26"/>
      <c r="CJ42" s="26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27"/>
      <c r="CW42" s="27"/>
      <c r="CX42" s="27"/>
      <c r="CY42" s="27"/>
      <c r="CZ42" s="28"/>
      <c r="DA42" s="28"/>
      <c r="DB42" s="28"/>
      <c r="DC42" s="28"/>
      <c r="DD42" s="28"/>
    </row>
    <row r="43" spans="79:108" x14ac:dyDescent="0.3">
      <c r="CA43" s="17"/>
      <c r="CB43" s="17"/>
      <c r="CC43" s="17"/>
      <c r="CD43" s="17"/>
      <c r="CE43" s="17"/>
      <c r="CF43" s="26"/>
      <c r="CG43" s="26"/>
      <c r="CH43" s="26"/>
      <c r="CI43" s="26"/>
      <c r="CJ43" s="26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27"/>
      <c r="CW43" s="27"/>
      <c r="CX43" s="27"/>
      <c r="CY43" s="27"/>
      <c r="CZ43" s="28"/>
      <c r="DA43" s="28"/>
      <c r="DB43" s="28"/>
      <c r="DC43" s="28"/>
      <c r="DD43" s="28"/>
    </row>
    <row r="44" spans="79:108" x14ac:dyDescent="0.3">
      <c r="CA44" s="17"/>
      <c r="CB44" s="17"/>
      <c r="CC44" s="17"/>
      <c r="CD44" s="17"/>
      <c r="CE44" s="17"/>
      <c r="CF44" s="26"/>
      <c r="CG44" s="26"/>
      <c r="CH44" s="26"/>
      <c r="CI44" s="26"/>
      <c r="CJ44" s="26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27"/>
      <c r="CW44" s="27"/>
      <c r="CX44" s="27"/>
      <c r="CY44" s="27"/>
      <c r="CZ44" s="28"/>
      <c r="DA44" s="28"/>
      <c r="DB44" s="28"/>
      <c r="DC44" s="28"/>
      <c r="DD44" s="28"/>
    </row>
    <row r="45" spans="79:108" x14ac:dyDescent="0.3">
      <c r="CA45" s="17"/>
      <c r="CB45" s="17"/>
      <c r="CC45" s="17"/>
      <c r="CD45" s="17"/>
      <c r="CE45" s="17"/>
      <c r="CF45" s="26"/>
      <c r="CG45" s="26"/>
      <c r="CH45" s="26"/>
      <c r="CI45" s="26"/>
      <c r="CJ45" s="26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27"/>
      <c r="CW45" s="27"/>
      <c r="CX45" s="27"/>
      <c r="CY45" s="27"/>
      <c r="CZ45" s="28"/>
      <c r="DA45" s="28"/>
      <c r="DB45" s="28"/>
      <c r="DC45" s="28"/>
      <c r="DD45" s="28"/>
    </row>
    <row r="46" spans="79:108" x14ac:dyDescent="0.3">
      <c r="CA46" s="17"/>
      <c r="CB46" s="17"/>
      <c r="CC46" s="17"/>
      <c r="CD46" s="17"/>
      <c r="CE46" s="17"/>
      <c r="CF46" s="26"/>
      <c r="CG46" s="26"/>
      <c r="CH46" s="26"/>
      <c r="CI46" s="26"/>
      <c r="CJ46" s="26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27"/>
      <c r="CW46" s="27"/>
      <c r="CX46" s="27"/>
      <c r="CY46" s="27"/>
      <c r="CZ46" s="28"/>
      <c r="DA46" s="28"/>
      <c r="DB46" s="28"/>
      <c r="DC46" s="28"/>
      <c r="DD46" s="28"/>
    </row>
    <row r="47" spans="79:108" x14ac:dyDescent="0.3">
      <c r="CA47" s="17"/>
      <c r="CB47" s="17"/>
      <c r="CC47" s="17"/>
      <c r="CD47" s="17"/>
      <c r="CE47" s="17"/>
      <c r="CF47" s="26"/>
      <c r="CG47" s="26"/>
      <c r="CH47" s="26"/>
      <c r="CI47" s="26"/>
      <c r="CJ47" s="26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27"/>
      <c r="CW47" s="27"/>
      <c r="CX47" s="27"/>
      <c r="CY47" s="27"/>
      <c r="CZ47" s="28"/>
      <c r="DA47" s="28"/>
      <c r="DB47" s="28"/>
      <c r="DC47" s="28"/>
      <c r="DD47" s="28"/>
    </row>
    <row r="48" spans="79:108" x14ac:dyDescent="0.3">
      <c r="CA48" s="17"/>
      <c r="CB48" s="17"/>
      <c r="CC48" s="17"/>
      <c r="CD48" s="17"/>
      <c r="CE48" s="17"/>
      <c r="CF48" s="26"/>
      <c r="CG48" s="26"/>
      <c r="CH48" s="26"/>
      <c r="CI48" s="26"/>
      <c r="CJ48" s="26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27"/>
      <c r="CW48" s="27"/>
      <c r="CX48" s="27"/>
      <c r="CY48" s="27"/>
      <c r="CZ48" s="28"/>
      <c r="DA48" s="28"/>
      <c r="DB48" s="28"/>
      <c r="DC48" s="28"/>
      <c r="DD48" s="28"/>
    </row>
    <row r="49" spans="79:108" x14ac:dyDescent="0.3">
      <c r="CA49" s="17"/>
      <c r="CB49" s="17"/>
      <c r="CC49" s="17"/>
      <c r="CD49" s="17"/>
      <c r="CE49" s="17"/>
      <c r="CF49" s="26"/>
      <c r="CG49" s="26"/>
      <c r="CH49" s="26"/>
      <c r="CI49" s="26"/>
      <c r="CJ49" s="26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27"/>
      <c r="CW49" s="27"/>
      <c r="CX49" s="27"/>
      <c r="CY49" s="27"/>
      <c r="CZ49" s="28"/>
      <c r="DA49" s="28"/>
      <c r="DB49" s="28"/>
      <c r="DC49" s="28"/>
      <c r="DD49" s="28"/>
    </row>
    <row r="50" spans="79:108" x14ac:dyDescent="0.3">
      <c r="CA50" s="17"/>
      <c r="CB50" s="17"/>
      <c r="CC50" s="17"/>
      <c r="CD50" s="17"/>
      <c r="CE50" s="17"/>
      <c r="CF50" s="26"/>
      <c r="CG50" s="26"/>
      <c r="CH50" s="26"/>
      <c r="CI50" s="26"/>
      <c r="CJ50" s="26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27"/>
      <c r="CW50" s="27"/>
      <c r="CX50" s="27"/>
      <c r="CY50" s="27"/>
      <c r="CZ50" s="28"/>
      <c r="DA50" s="28"/>
      <c r="DB50" s="28"/>
      <c r="DC50" s="28"/>
      <c r="DD50" s="28"/>
    </row>
    <row r="51" spans="79:108" x14ac:dyDescent="0.3">
      <c r="CA51" s="17"/>
      <c r="CB51" s="17"/>
      <c r="CC51" s="17"/>
      <c r="CD51" s="17"/>
      <c r="CE51" s="17"/>
      <c r="CF51" s="26"/>
      <c r="CG51" s="26"/>
      <c r="CH51" s="26"/>
      <c r="CI51" s="26"/>
      <c r="CJ51" s="26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27"/>
      <c r="CW51" s="27"/>
      <c r="CX51" s="27"/>
      <c r="CY51" s="27"/>
      <c r="CZ51" s="28"/>
      <c r="DA51" s="28"/>
      <c r="DB51" s="28"/>
      <c r="DC51" s="28"/>
      <c r="DD51" s="28"/>
    </row>
    <row r="52" spans="79:108" x14ac:dyDescent="0.3">
      <c r="CA52" s="17"/>
      <c r="CB52" s="17"/>
      <c r="CC52" s="17"/>
      <c r="CD52" s="17"/>
      <c r="CE52" s="17"/>
      <c r="CF52" s="26"/>
      <c r="CG52" s="26"/>
      <c r="CH52" s="26"/>
      <c r="CI52" s="26"/>
      <c r="CJ52" s="26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27"/>
      <c r="CW52" s="27"/>
      <c r="CX52" s="27"/>
      <c r="CY52" s="27"/>
      <c r="CZ52" s="28"/>
      <c r="DA52" s="28"/>
      <c r="DB52" s="28"/>
      <c r="DC52" s="28"/>
      <c r="DD52" s="28"/>
    </row>
    <row r="53" spans="79:108" x14ac:dyDescent="0.3">
      <c r="CA53" s="17"/>
      <c r="CB53" s="17"/>
      <c r="CC53" s="17"/>
      <c r="CD53" s="17"/>
      <c r="CE53" s="17"/>
      <c r="CF53" s="26"/>
      <c r="CG53" s="26"/>
      <c r="CH53" s="26"/>
      <c r="CI53" s="26"/>
      <c r="CJ53" s="26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27"/>
      <c r="CW53" s="27"/>
      <c r="CX53" s="27"/>
      <c r="CY53" s="27"/>
      <c r="CZ53" s="28"/>
      <c r="DA53" s="28"/>
      <c r="DB53" s="28"/>
      <c r="DC53" s="28"/>
      <c r="DD53" s="28"/>
    </row>
    <row r="54" spans="79:108" x14ac:dyDescent="0.3">
      <c r="CA54" s="17"/>
      <c r="CB54" s="17"/>
      <c r="CC54" s="17"/>
      <c r="CD54" s="17"/>
      <c r="CE54" s="17"/>
      <c r="CF54" s="26"/>
      <c r="CG54" s="26"/>
      <c r="CH54" s="26"/>
      <c r="CI54" s="26"/>
      <c r="CJ54" s="26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27"/>
      <c r="CW54" s="27"/>
      <c r="CX54" s="27"/>
      <c r="CY54" s="27"/>
      <c r="CZ54" s="28"/>
      <c r="DA54" s="28"/>
      <c r="DB54" s="28"/>
      <c r="DC54" s="28"/>
      <c r="DD54" s="28"/>
    </row>
    <row r="55" spans="79:108" x14ac:dyDescent="0.3">
      <c r="CA55" s="17"/>
      <c r="CB55" s="17"/>
      <c r="CC55" s="17"/>
      <c r="CD55" s="17"/>
      <c r="CE55" s="17"/>
      <c r="CF55" s="26"/>
      <c r="CG55" s="26"/>
      <c r="CH55" s="26"/>
      <c r="CI55" s="26"/>
      <c r="CJ55" s="26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27"/>
      <c r="CW55" s="27"/>
      <c r="CX55" s="27"/>
      <c r="CY55" s="27"/>
      <c r="CZ55" s="28"/>
      <c r="DA55" s="28"/>
      <c r="DB55" s="28"/>
      <c r="DC55" s="28"/>
      <c r="DD55" s="28"/>
    </row>
    <row r="56" spans="79:108" x14ac:dyDescent="0.3">
      <c r="CA56" s="17"/>
      <c r="CB56" s="17"/>
      <c r="CC56" s="17"/>
      <c r="CD56" s="17"/>
      <c r="CE56" s="17"/>
      <c r="CF56" s="26"/>
      <c r="CG56" s="26"/>
      <c r="CH56" s="26"/>
      <c r="CI56" s="26"/>
      <c r="CJ56" s="26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27"/>
      <c r="CW56" s="27"/>
      <c r="CX56" s="27"/>
      <c r="CY56" s="27"/>
      <c r="CZ56" s="28"/>
      <c r="DA56" s="28"/>
      <c r="DB56" s="28"/>
      <c r="DC56" s="28"/>
      <c r="DD56" s="28"/>
    </row>
    <row r="57" spans="79:108" x14ac:dyDescent="0.3">
      <c r="CA57" s="17"/>
      <c r="CB57" s="17"/>
      <c r="CC57" s="17"/>
      <c r="CD57" s="17"/>
      <c r="CE57" s="17"/>
      <c r="CF57" s="26"/>
      <c r="CG57" s="26"/>
      <c r="CH57" s="26"/>
      <c r="CI57" s="26"/>
      <c r="CJ57" s="26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27"/>
      <c r="CW57" s="27"/>
      <c r="CX57" s="27"/>
      <c r="CY57" s="27"/>
      <c r="CZ57" s="28"/>
      <c r="DA57" s="28"/>
      <c r="DB57" s="28"/>
      <c r="DC57" s="28"/>
      <c r="DD57" s="28"/>
    </row>
    <row r="58" spans="79:108" x14ac:dyDescent="0.3">
      <c r="CA58" s="17"/>
      <c r="CB58" s="17"/>
      <c r="CC58" s="17"/>
      <c r="CD58" s="17"/>
      <c r="CE58" s="17"/>
      <c r="CF58" s="26"/>
      <c r="CG58" s="26"/>
      <c r="CH58" s="26"/>
      <c r="CI58" s="26"/>
      <c r="CJ58" s="26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27"/>
      <c r="CW58" s="27"/>
      <c r="CX58" s="27"/>
      <c r="CY58" s="27"/>
      <c r="CZ58" s="28"/>
      <c r="DA58" s="28"/>
      <c r="DB58" s="28"/>
      <c r="DC58" s="28"/>
      <c r="DD58" s="28"/>
    </row>
    <row r="59" spans="79:108" x14ac:dyDescent="0.3">
      <c r="CA59" s="17"/>
      <c r="CB59" s="17"/>
      <c r="CC59" s="17"/>
      <c r="CD59" s="17"/>
      <c r="CE59" s="17"/>
      <c r="CF59" s="26"/>
      <c r="CG59" s="26"/>
      <c r="CH59" s="26"/>
      <c r="CI59" s="26"/>
      <c r="CJ59" s="26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27"/>
      <c r="CW59" s="27"/>
      <c r="CX59" s="27"/>
      <c r="CY59" s="27"/>
      <c r="CZ59" s="28"/>
      <c r="DA59" s="28"/>
      <c r="DB59" s="28"/>
      <c r="DC59" s="28"/>
      <c r="DD59" s="28"/>
    </row>
    <row r="60" spans="79:108" x14ac:dyDescent="0.3">
      <c r="CA60" s="17"/>
      <c r="CB60" s="17"/>
      <c r="CC60" s="17"/>
      <c r="CD60" s="17"/>
      <c r="CE60" s="17"/>
      <c r="CF60" s="26"/>
      <c r="CG60" s="26"/>
      <c r="CH60" s="26"/>
      <c r="CI60" s="26"/>
      <c r="CJ60" s="26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27"/>
      <c r="CW60" s="27"/>
      <c r="CX60" s="27"/>
      <c r="CY60" s="27"/>
      <c r="CZ60" s="28"/>
      <c r="DA60" s="28"/>
      <c r="DB60" s="28"/>
      <c r="DC60" s="28"/>
      <c r="DD60" s="28"/>
    </row>
    <row r="61" spans="79:108" x14ac:dyDescent="0.3">
      <c r="CA61" s="17"/>
      <c r="CB61" s="17"/>
      <c r="CC61" s="17"/>
      <c r="CD61" s="17"/>
      <c r="CE61" s="17"/>
      <c r="CF61" s="26"/>
      <c r="CG61" s="26"/>
      <c r="CH61" s="26"/>
      <c r="CI61" s="26"/>
      <c r="CJ61" s="26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27"/>
      <c r="CW61" s="27"/>
      <c r="CX61" s="27"/>
      <c r="CY61" s="27"/>
      <c r="CZ61" s="28"/>
      <c r="DA61" s="28"/>
      <c r="DB61" s="28"/>
      <c r="DC61" s="28"/>
      <c r="DD61" s="28"/>
    </row>
    <row r="62" spans="79:108" x14ac:dyDescent="0.3">
      <c r="CA62" s="17"/>
      <c r="CB62" s="17"/>
      <c r="CC62" s="17"/>
      <c r="CD62" s="17"/>
      <c r="CE62" s="17"/>
      <c r="CF62" s="26"/>
      <c r="CG62" s="26"/>
      <c r="CH62" s="26"/>
      <c r="CI62" s="26"/>
      <c r="CJ62" s="26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27"/>
      <c r="CW62" s="27"/>
      <c r="CX62" s="27"/>
      <c r="CY62" s="27"/>
      <c r="CZ62" s="28"/>
      <c r="DA62" s="28"/>
      <c r="DB62" s="28"/>
      <c r="DC62" s="28"/>
      <c r="DD62" s="28"/>
    </row>
    <row r="63" spans="79:108" x14ac:dyDescent="0.3">
      <c r="CA63" s="17"/>
      <c r="CB63" s="17"/>
      <c r="CC63" s="17"/>
      <c r="CD63" s="17"/>
      <c r="CE63" s="17"/>
      <c r="CF63" s="26"/>
      <c r="CG63" s="26"/>
      <c r="CH63" s="26"/>
      <c r="CI63" s="26"/>
      <c r="CJ63" s="26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27"/>
      <c r="CW63" s="27"/>
      <c r="CX63" s="27"/>
      <c r="CY63" s="27"/>
      <c r="CZ63" s="28"/>
      <c r="DA63" s="28"/>
      <c r="DB63" s="28"/>
      <c r="DC63" s="28"/>
      <c r="DD63" s="28"/>
    </row>
    <row r="64" spans="79:108" x14ac:dyDescent="0.3">
      <c r="CA64" s="17"/>
      <c r="CB64" s="17"/>
      <c r="CC64" s="17"/>
      <c r="CD64" s="17"/>
      <c r="CE64" s="17"/>
      <c r="CF64" s="26"/>
      <c r="CG64" s="26"/>
      <c r="CH64" s="26"/>
      <c r="CI64" s="26"/>
      <c r="CJ64" s="26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27"/>
      <c r="CW64" s="27"/>
      <c r="CX64" s="27"/>
      <c r="CY64" s="27"/>
      <c r="CZ64" s="28"/>
      <c r="DA64" s="28"/>
      <c r="DB64" s="28"/>
      <c r="DC64" s="28"/>
      <c r="DD64" s="28"/>
    </row>
    <row r="65" spans="79:108" x14ac:dyDescent="0.3">
      <c r="CA65" s="17"/>
      <c r="CB65" s="17"/>
      <c r="CC65" s="17"/>
      <c r="CD65" s="17"/>
      <c r="CE65" s="17"/>
      <c r="CF65" s="26"/>
      <c r="CG65" s="26"/>
      <c r="CH65" s="26"/>
      <c r="CI65" s="26"/>
      <c r="CJ65" s="26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27"/>
      <c r="CW65" s="27"/>
      <c r="CX65" s="27"/>
      <c r="CY65" s="27"/>
      <c r="CZ65" s="28"/>
      <c r="DA65" s="28"/>
      <c r="DB65" s="28"/>
      <c r="DC65" s="28"/>
      <c r="DD65" s="28"/>
    </row>
    <row r="66" spans="79:108" x14ac:dyDescent="0.3">
      <c r="CA66" s="17"/>
      <c r="CB66" s="17"/>
      <c r="CC66" s="17"/>
      <c r="CD66" s="17"/>
      <c r="CE66" s="17"/>
      <c r="CF66" s="26"/>
      <c r="CG66" s="26"/>
      <c r="CH66" s="26"/>
      <c r="CI66" s="26"/>
      <c r="CJ66" s="26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27"/>
      <c r="CW66" s="27"/>
      <c r="CX66" s="27"/>
      <c r="CY66" s="27"/>
      <c r="CZ66" s="28"/>
      <c r="DA66" s="28"/>
      <c r="DB66" s="28"/>
      <c r="DC66" s="28"/>
      <c r="DD66" s="28"/>
    </row>
    <row r="67" spans="79:108" x14ac:dyDescent="0.3">
      <c r="CA67" s="17"/>
      <c r="CB67" s="17"/>
      <c r="CC67" s="17"/>
      <c r="CD67" s="17"/>
      <c r="CE67" s="17"/>
      <c r="CF67" s="26"/>
      <c r="CG67" s="26"/>
      <c r="CH67" s="26"/>
      <c r="CI67" s="26"/>
      <c r="CJ67" s="26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27"/>
      <c r="CW67" s="27"/>
      <c r="CX67" s="27"/>
      <c r="CY67" s="27"/>
      <c r="CZ67" s="28"/>
      <c r="DA67" s="28"/>
      <c r="DB67" s="28"/>
      <c r="DC67" s="28"/>
      <c r="DD67" s="28"/>
    </row>
    <row r="68" spans="79:108" x14ac:dyDescent="0.3">
      <c r="CA68" s="17"/>
      <c r="CB68" s="17"/>
      <c r="CC68" s="17"/>
      <c r="CD68" s="17"/>
      <c r="CE68" s="17"/>
      <c r="CF68" s="26"/>
      <c r="CG68" s="26"/>
      <c r="CH68" s="26"/>
      <c r="CI68" s="26"/>
      <c r="CJ68" s="26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27"/>
      <c r="CW68" s="27"/>
      <c r="CX68" s="27"/>
      <c r="CY68" s="27"/>
      <c r="CZ68" s="28"/>
      <c r="DA68" s="28"/>
      <c r="DB68" s="28"/>
      <c r="DC68" s="28"/>
      <c r="DD68" s="28"/>
    </row>
    <row r="69" spans="79:108" x14ac:dyDescent="0.3">
      <c r="CA69" s="17"/>
      <c r="CB69" s="17"/>
      <c r="CC69" s="17"/>
      <c r="CD69" s="17"/>
      <c r="CE69" s="17"/>
      <c r="CF69" s="26"/>
      <c r="CG69" s="26"/>
      <c r="CH69" s="26"/>
      <c r="CI69" s="26"/>
      <c r="CJ69" s="26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27"/>
      <c r="CW69" s="27"/>
      <c r="CX69" s="27"/>
      <c r="CY69" s="27"/>
      <c r="CZ69" s="28"/>
      <c r="DA69" s="28"/>
      <c r="DB69" s="28"/>
      <c r="DC69" s="28"/>
      <c r="DD69" s="28"/>
    </row>
    <row r="70" spans="79:108" x14ac:dyDescent="0.3">
      <c r="CA70" s="17"/>
      <c r="CB70" s="17"/>
      <c r="CC70" s="17"/>
      <c r="CD70" s="17"/>
      <c r="CE70" s="17"/>
      <c r="CF70" s="26"/>
      <c r="CG70" s="26"/>
      <c r="CH70" s="26"/>
      <c r="CI70" s="26"/>
      <c r="CJ70" s="26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27"/>
      <c r="CW70" s="27"/>
      <c r="CX70" s="27"/>
      <c r="CY70" s="27"/>
      <c r="CZ70" s="28"/>
      <c r="DA70" s="28"/>
      <c r="DB70" s="28"/>
      <c r="DC70" s="28"/>
      <c r="DD70" s="28"/>
    </row>
    <row r="71" spans="79:108" x14ac:dyDescent="0.3">
      <c r="CA71" s="17"/>
      <c r="CB71" s="17"/>
      <c r="CC71" s="17"/>
      <c r="CD71" s="17"/>
      <c r="CE71" s="17"/>
      <c r="CF71" s="26"/>
      <c r="CG71" s="26"/>
      <c r="CH71" s="26"/>
      <c r="CI71" s="26"/>
      <c r="CJ71" s="26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27"/>
      <c r="CW71" s="27"/>
      <c r="CX71" s="27"/>
      <c r="CY71" s="27"/>
      <c r="CZ71" s="28"/>
      <c r="DA71" s="28"/>
      <c r="DB71" s="28"/>
      <c r="DC71" s="28"/>
      <c r="DD71" s="28"/>
    </row>
    <row r="72" spans="79:108" x14ac:dyDescent="0.3">
      <c r="CA72" s="17"/>
      <c r="CB72" s="17"/>
      <c r="CC72" s="17"/>
      <c r="CD72" s="17"/>
      <c r="CE72" s="17"/>
      <c r="CF72" s="26"/>
      <c r="CG72" s="26"/>
      <c r="CH72" s="26"/>
      <c r="CI72" s="26"/>
      <c r="CJ72" s="26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27"/>
      <c r="CW72" s="27"/>
      <c r="CX72" s="27"/>
      <c r="CY72" s="27"/>
      <c r="CZ72" s="28"/>
      <c r="DA72" s="28"/>
      <c r="DB72" s="28"/>
      <c r="DC72" s="28"/>
      <c r="DD72" s="28"/>
    </row>
    <row r="73" spans="79:108" x14ac:dyDescent="0.3">
      <c r="CA73" s="17"/>
      <c r="CB73" s="17"/>
      <c r="CC73" s="17"/>
      <c r="CD73" s="17"/>
      <c r="CE73" s="17"/>
      <c r="CF73" s="26"/>
      <c r="CG73" s="26"/>
      <c r="CH73" s="26"/>
      <c r="CI73" s="26"/>
      <c r="CJ73" s="26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27"/>
      <c r="CW73" s="27"/>
      <c r="CX73" s="27"/>
      <c r="CY73" s="27"/>
      <c r="CZ73" s="28"/>
      <c r="DA73" s="28"/>
      <c r="DB73" s="28"/>
      <c r="DC73" s="28"/>
      <c r="DD73" s="28"/>
    </row>
    <row r="74" spans="79:108" x14ac:dyDescent="0.3">
      <c r="CA74" s="17"/>
      <c r="CB74" s="17"/>
      <c r="CC74" s="17"/>
      <c r="CD74" s="17"/>
      <c r="CE74" s="17"/>
      <c r="CF74" s="26"/>
      <c r="CG74" s="26"/>
      <c r="CH74" s="26"/>
      <c r="CI74" s="26"/>
      <c r="CJ74" s="26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27"/>
      <c r="CW74" s="27"/>
      <c r="CX74" s="27"/>
      <c r="CY74" s="27"/>
      <c r="CZ74" s="28"/>
      <c r="DA74" s="28"/>
      <c r="DB74" s="28"/>
      <c r="DC74" s="28"/>
      <c r="DD74" s="28"/>
    </row>
    <row r="75" spans="79:108" x14ac:dyDescent="0.3">
      <c r="CA75" s="17"/>
      <c r="CB75" s="17"/>
      <c r="CC75" s="17"/>
      <c r="CD75" s="17"/>
      <c r="CE75" s="17"/>
      <c r="CF75" s="26"/>
      <c r="CG75" s="26"/>
      <c r="CH75" s="26"/>
      <c r="CI75" s="26"/>
      <c r="CJ75" s="26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27"/>
      <c r="CW75" s="27"/>
      <c r="CX75" s="27"/>
      <c r="CY75" s="27"/>
      <c r="CZ75" s="28"/>
      <c r="DA75" s="28"/>
      <c r="DB75" s="28"/>
      <c r="DC75" s="28"/>
      <c r="DD75" s="28"/>
    </row>
    <row r="76" spans="79:108" x14ac:dyDescent="0.3">
      <c r="CA76" s="17"/>
      <c r="CB76" s="17"/>
      <c r="CC76" s="17"/>
      <c r="CD76" s="17"/>
      <c r="CE76" s="17"/>
      <c r="CF76" s="26"/>
      <c r="CG76" s="26"/>
      <c r="CH76" s="26"/>
      <c r="CI76" s="26"/>
      <c r="CJ76" s="26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27"/>
      <c r="CW76" s="27"/>
      <c r="CX76" s="27"/>
      <c r="CY76" s="27"/>
      <c r="CZ76" s="28"/>
      <c r="DA76" s="28"/>
      <c r="DB76" s="28"/>
      <c r="DC76" s="28"/>
      <c r="DD76" s="28"/>
    </row>
    <row r="77" spans="79:108" x14ac:dyDescent="0.3">
      <c r="CA77" s="17"/>
      <c r="CB77" s="17"/>
      <c r="CC77" s="17"/>
      <c r="CD77" s="17"/>
      <c r="CE77" s="17"/>
      <c r="CF77" s="26"/>
      <c r="CG77" s="26"/>
      <c r="CH77" s="26"/>
      <c r="CI77" s="26"/>
      <c r="CJ77" s="26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27"/>
      <c r="CW77" s="27"/>
      <c r="CX77" s="27"/>
      <c r="CY77" s="27"/>
      <c r="CZ77" s="28"/>
      <c r="DA77" s="28"/>
      <c r="DB77" s="28"/>
      <c r="DC77" s="28"/>
      <c r="DD77" s="28"/>
    </row>
    <row r="78" spans="79:108" x14ac:dyDescent="0.3">
      <c r="CA78" s="17"/>
      <c r="CB78" s="17"/>
      <c r="CC78" s="17"/>
      <c r="CD78" s="17"/>
      <c r="CE78" s="17"/>
      <c r="CF78" s="26"/>
      <c r="CG78" s="26"/>
      <c r="CH78" s="26"/>
      <c r="CI78" s="26"/>
      <c r="CJ78" s="26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27"/>
      <c r="CW78" s="27"/>
      <c r="CX78" s="27"/>
      <c r="CY78" s="27"/>
      <c r="CZ78" s="28"/>
      <c r="DA78" s="28"/>
      <c r="DB78" s="28"/>
      <c r="DC78" s="28"/>
      <c r="DD78" s="28"/>
    </row>
    <row r="79" spans="79:108" x14ac:dyDescent="0.3">
      <c r="CA79" s="17"/>
      <c r="CB79" s="17"/>
      <c r="CC79" s="17"/>
      <c r="CD79" s="17"/>
      <c r="CE79" s="17"/>
      <c r="CF79" s="26"/>
      <c r="CG79" s="26"/>
      <c r="CH79" s="26"/>
      <c r="CI79" s="26"/>
      <c r="CJ79" s="26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27"/>
      <c r="CW79" s="27"/>
      <c r="CX79" s="27"/>
      <c r="CY79" s="27"/>
      <c r="CZ79" s="28"/>
      <c r="DA79" s="28"/>
      <c r="DB79" s="28"/>
      <c r="DC79" s="28"/>
      <c r="DD79" s="28"/>
    </row>
  </sheetData>
  <sheetProtection autoFilter="0"/>
  <mergeCells count="487">
    <mergeCell ref="CZ78:DD78"/>
    <mergeCell ref="CA79:CB79"/>
    <mergeCell ref="CC79:CE79"/>
    <mergeCell ref="CF79:CJ79"/>
    <mergeCell ref="CK79:CN79"/>
    <mergeCell ref="CO79:CU79"/>
    <mergeCell ref="CV79:CY79"/>
    <mergeCell ref="CZ79:DD79"/>
    <mergeCell ref="CA78:CB78"/>
    <mergeCell ref="CC78:CE78"/>
    <mergeCell ref="CF78:CJ78"/>
    <mergeCell ref="CK78:CN78"/>
    <mergeCell ref="CO78:CU78"/>
    <mergeCell ref="CV78:CY78"/>
    <mergeCell ref="CZ76:DD76"/>
    <mergeCell ref="CA77:CB77"/>
    <mergeCell ref="CC77:CE77"/>
    <mergeCell ref="CF77:CJ77"/>
    <mergeCell ref="CK77:CN77"/>
    <mergeCell ref="CO77:CU77"/>
    <mergeCell ref="CV77:CY77"/>
    <mergeCell ref="CZ77:DD77"/>
    <mergeCell ref="CA76:CB76"/>
    <mergeCell ref="CC76:CE76"/>
    <mergeCell ref="CF76:CJ76"/>
    <mergeCell ref="CK76:CN76"/>
    <mergeCell ref="CO76:CU76"/>
    <mergeCell ref="CV76:CY76"/>
    <mergeCell ref="CZ74:DD74"/>
    <mergeCell ref="CA75:CB75"/>
    <mergeCell ref="CC75:CE75"/>
    <mergeCell ref="CF75:CJ75"/>
    <mergeCell ref="CK75:CN75"/>
    <mergeCell ref="CO75:CU75"/>
    <mergeCell ref="CV75:CY75"/>
    <mergeCell ref="CZ75:DD75"/>
    <mergeCell ref="CA74:CB74"/>
    <mergeCell ref="CC74:CE74"/>
    <mergeCell ref="CF74:CJ74"/>
    <mergeCell ref="CK74:CN74"/>
    <mergeCell ref="CO74:CU74"/>
    <mergeCell ref="CV74:CY74"/>
    <mergeCell ref="CZ72:DD72"/>
    <mergeCell ref="CA73:CB73"/>
    <mergeCell ref="CC73:CE73"/>
    <mergeCell ref="CF73:CJ73"/>
    <mergeCell ref="CK73:CN73"/>
    <mergeCell ref="CO73:CU73"/>
    <mergeCell ref="CV73:CY73"/>
    <mergeCell ref="CZ73:DD73"/>
    <mergeCell ref="CA72:CB72"/>
    <mergeCell ref="CC72:CE72"/>
    <mergeCell ref="CF72:CJ72"/>
    <mergeCell ref="CK72:CN72"/>
    <mergeCell ref="CO72:CU72"/>
    <mergeCell ref="CV72:CY72"/>
    <mergeCell ref="CZ70:DD70"/>
    <mergeCell ref="CA71:CB71"/>
    <mergeCell ref="CC71:CE71"/>
    <mergeCell ref="CF71:CJ71"/>
    <mergeCell ref="CK71:CN71"/>
    <mergeCell ref="CO71:CU71"/>
    <mergeCell ref="CV71:CY71"/>
    <mergeCell ref="CZ71:DD71"/>
    <mergeCell ref="CA70:CB70"/>
    <mergeCell ref="CC70:CE70"/>
    <mergeCell ref="CF70:CJ70"/>
    <mergeCell ref="CK70:CN70"/>
    <mergeCell ref="CO70:CU70"/>
    <mergeCell ref="CV70:CY70"/>
    <mergeCell ref="CZ68:DD68"/>
    <mergeCell ref="CA69:CB69"/>
    <mergeCell ref="CC69:CE69"/>
    <mergeCell ref="CF69:CJ69"/>
    <mergeCell ref="CK69:CN69"/>
    <mergeCell ref="CO69:CU69"/>
    <mergeCell ref="CV69:CY69"/>
    <mergeCell ref="CZ69:DD69"/>
    <mergeCell ref="CA68:CB68"/>
    <mergeCell ref="CC68:CE68"/>
    <mergeCell ref="CF68:CJ68"/>
    <mergeCell ref="CK68:CN68"/>
    <mergeCell ref="CO68:CU68"/>
    <mergeCell ref="CV68:CY68"/>
    <mergeCell ref="CZ66:DD66"/>
    <mergeCell ref="CA67:CB67"/>
    <mergeCell ref="CC67:CE67"/>
    <mergeCell ref="CF67:CJ67"/>
    <mergeCell ref="CK67:CN67"/>
    <mergeCell ref="CO67:CU67"/>
    <mergeCell ref="CV67:CY67"/>
    <mergeCell ref="CZ67:DD67"/>
    <mergeCell ref="CA66:CB66"/>
    <mergeCell ref="CC66:CE66"/>
    <mergeCell ref="CF66:CJ66"/>
    <mergeCell ref="CK66:CN66"/>
    <mergeCell ref="CO66:CU66"/>
    <mergeCell ref="CV66:CY66"/>
    <mergeCell ref="CZ64:DD64"/>
    <mergeCell ref="CA65:CB65"/>
    <mergeCell ref="CC65:CE65"/>
    <mergeCell ref="CF65:CJ65"/>
    <mergeCell ref="CK65:CN65"/>
    <mergeCell ref="CO65:CU65"/>
    <mergeCell ref="CV65:CY65"/>
    <mergeCell ref="CZ65:DD65"/>
    <mergeCell ref="CA64:CB64"/>
    <mergeCell ref="CC64:CE64"/>
    <mergeCell ref="CF64:CJ64"/>
    <mergeCell ref="CK64:CN64"/>
    <mergeCell ref="CO64:CU64"/>
    <mergeCell ref="CV64:CY64"/>
    <mergeCell ref="CZ62:DD62"/>
    <mergeCell ref="CA63:CB63"/>
    <mergeCell ref="CC63:CE63"/>
    <mergeCell ref="CF63:CJ63"/>
    <mergeCell ref="CK63:CN63"/>
    <mergeCell ref="CO63:CU63"/>
    <mergeCell ref="CV63:CY63"/>
    <mergeCell ref="CZ63:DD63"/>
    <mergeCell ref="CA62:CB62"/>
    <mergeCell ref="CC62:CE62"/>
    <mergeCell ref="CF62:CJ62"/>
    <mergeCell ref="CK62:CN62"/>
    <mergeCell ref="CO62:CU62"/>
    <mergeCell ref="CV62:CY62"/>
    <mergeCell ref="CZ60:DD60"/>
    <mergeCell ref="CA61:CB61"/>
    <mergeCell ref="CC61:CE61"/>
    <mergeCell ref="CF61:CJ61"/>
    <mergeCell ref="CK61:CN61"/>
    <mergeCell ref="CO61:CU61"/>
    <mergeCell ref="CV61:CY61"/>
    <mergeCell ref="CZ61:DD61"/>
    <mergeCell ref="CA60:CB60"/>
    <mergeCell ref="CC60:CE60"/>
    <mergeCell ref="CF60:CJ60"/>
    <mergeCell ref="CK60:CN60"/>
    <mergeCell ref="CO60:CU60"/>
    <mergeCell ref="CV60:CY60"/>
    <mergeCell ref="CZ58:DD58"/>
    <mergeCell ref="CA59:CB59"/>
    <mergeCell ref="CC59:CE59"/>
    <mergeCell ref="CF59:CJ59"/>
    <mergeCell ref="CK59:CN59"/>
    <mergeCell ref="CO59:CU59"/>
    <mergeCell ref="CV59:CY59"/>
    <mergeCell ref="CZ59:DD59"/>
    <mergeCell ref="CA58:CB58"/>
    <mergeCell ref="CC58:CE58"/>
    <mergeCell ref="CF58:CJ58"/>
    <mergeCell ref="CK58:CN58"/>
    <mergeCell ref="CO58:CU58"/>
    <mergeCell ref="CV58:CY58"/>
    <mergeCell ref="CZ56:DD56"/>
    <mergeCell ref="CA57:CB57"/>
    <mergeCell ref="CC57:CE57"/>
    <mergeCell ref="CF57:CJ57"/>
    <mergeCell ref="CK57:CN57"/>
    <mergeCell ref="CO57:CU57"/>
    <mergeCell ref="CV57:CY57"/>
    <mergeCell ref="CZ57:DD57"/>
    <mergeCell ref="CA56:CB56"/>
    <mergeCell ref="CC56:CE56"/>
    <mergeCell ref="CF56:CJ56"/>
    <mergeCell ref="CK56:CN56"/>
    <mergeCell ref="CO56:CU56"/>
    <mergeCell ref="CV56:CY56"/>
    <mergeCell ref="CZ54:DD54"/>
    <mergeCell ref="CA55:CB55"/>
    <mergeCell ref="CC55:CE55"/>
    <mergeCell ref="CF55:CJ55"/>
    <mergeCell ref="CK55:CN55"/>
    <mergeCell ref="CO55:CU55"/>
    <mergeCell ref="CV55:CY55"/>
    <mergeCell ref="CZ55:DD55"/>
    <mergeCell ref="CA54:CB54"/>
    <mergeCell ref="CC54:CE54"/>
    <mergeCell ref="CF54:CJ54"/>
    <mergeCell ref="CK54:CN54"/>
    <mergeCell ref="CO54:CU54"/>
    <mergeCell ref="CV54:CY54"/>
    <mergeCell ref="CZ52:DD52"/>
    <mergeCell ref="CA53:CB53"/>
    <mergeCell ref="CC53:CE53"/>
    <mergeCell ref="CF53:CJ53"/>
    <mergeCell ref="CK53:CN53"/>
    <mergeCell ref="CO53:CU53"/>
    <mergeCell ref="CV53:CY53"/>
    <mergeCell ref="CZ53:DD53"/>
    <mergeCell ref="CA52:CB52"/>
    <mergeCell ref="CC52:CE52"/>
    <mergeCell ref="CF52:CJ52"/>
    <mergeCell ref="CK52:CN52"/>
    <mergeCell ref="CO52:CU52"/>
    <mergeCell ref="CV52:CY52"/>
    <mergeCell ref="CZ50:DD50"/>
    <mergeCell ref="CA51:CB51"/>
    <mergeCell ref="CC51:CE51"/>
    <mergeCell ref="CF51:CJ51"/>
    <mergeCell ref="CK51:CN51"/>
    <mergeCell ref="CO51:CU51"/>
    <mergeCell ref="CV51:CY51"/>
    <mergeCell ref="CZ51:DD51"/>
    <mergeCell ref="CA50:CB50"/>
    <mergeCell ref="CC50:CE50"/>
    <mergeCell ref="CF50:CJ50"/>
    <mergeCell ref="CK50:CN50"/>
    <mergeCell ref="CO50:CU50"/>
    <mergeCell ref="CV50:CY50"/>
    <mergeCell ref="CZ48:DD48"/>
    <mergeCell ref="CA49:CB49"/>
    <mergeCell ref="CC49:CE49"/>
    <mergeCell ref="CF49:CJ49"/>
    <mergeCell ref="CK49:CN49"/>
    <mergeCell ref="CO49:CU49"/>
    <mergeCell ref="CV49:CY49"/>
    <mergeCell ref="CZ49:DD49"/>
    <mergeCell ref="CA48:CB48"/>
    <mergeCell ref="CC48:CE48"/>
    <mergeCell ref="CF48:CJ48"/>
    <mergeCell ref="CK48:CN48"/>
    <mergeCell ref="CO48:CU48"/>
    <mergeCell ref="CV48:CY48"/>
    <mergeCell ref="CZ46:DD46"/>
    <mergeCell ref="CA47:CB47"/>
    <mergeCell ref="CC47:CE47"/>
    <mergeCell ref="CF47:CJ47"/>
    <mergeCell ref="CK47:CN47"/>
    <mergeCell ref="CO47:CU47"/>
    <mergeCell ref="CV47:CY47"/>
    <mergeCell ref="CZ47:DD47"/>
    <mergeCell ref="CA46:CB46"/>
    <mergeCell ref="CC46:CE46"/>
    <mergeCell ref="CF46:CJ46"/>
    <mergeCell ref="CK46:CN46"/>
    <mergeCell ref="CO46:CU46"/>
    <mergeCell ref="CV46:CY46"/>
    <mergeCell ref="CZ44:DD44"/>
    <mergeCell ref="CA45:CB45"/>
    <mergeCell ref="CC45:CE45"/>
    <mergeCell ref="CF45:CJ45"/>
    <mergeCell ref="CK45:CN45"/>
    <mergeCell ref="CO45:CU45"/>
    <mergeCell ref="CV45:CY45"/>
    <mergeCell ref="CZ45:DD45"/>
    <mergeCell ref="CA44:CB44"/>
    <mergeCell ref="CC44:CE44"/>
    <mergeCell ref="CF44:CJ44"/>
    <mergeCell ref="CK44:CN44"/>
    <mergeCell ref="CO44:CU44"/>
    <mergeCell ref="CV44:CY44"/>
    <mergeCell ref="CZ42:DD42"/>
    <mergeCell ref="CA43:CB43"/>
    <mergeCell ref="CC43:CE43"/>
    <mergeCell ref="CF43:CJ43"/>
    <mergeCell ref="CK43:CN43"/>
    <mergeCell ref="CO43:CU43"/>
    <mergeCell ref="CV43:CY43"/>
    <mergeCell ref="CZ43:DD43"/>
    <mergeCell ref="CA42:CB42"/>
    <mergeCell ref="CC42:CE42"/>
    <mergeCell ref="CF42:CJ42"/>
    <mergeCell ref="CK42:CN42"/>
    <mergeCell ref="CO42:CU42"/>
    <mergeCell ref="CV42:CY42"/>
    <mergeCell ref="CZ40:DD40"/>
    <mergeCell ref="CA41:CB41"/>
    <mergeCell ref="CC41:CE41"/>
    <mergeCell ref="CF41:CJ41"/>
    <mergeCell ref="CK41:CN41"/>
    <mergeCell ref="CO41:CU41"/>
    <mergeCell ref="CV41:CY41"/>
    <mergeCell ref="CZ41:DD41"/>
    <mergeCell ref="CA40:CB40"/>
    <mergeCell ref="CC40:CE40"/>
    <mergeCell ref="CF40:CJ40"/>
    <mergeCell ref="CK40:CN40"/>
    <mergeCell ref="CO40:CU40"/>
    <mergeCell ref="CV40:CY40"/>
    <mergeCell ref="CZ38:DD38"/>
    <mergeCell ref="CA39:CB39"/>
    <mergeCell ref="CC39:CE39"/>
    <mergeCell ref="CF39:CJ39"/>
    <mergeCell ref="CK39:CN39"/>
    <mergeCell ref="CO39:CU39"/>
    <mergeCell ref="CV39:CY39"/>
    <mergeCell ref="CZ39:DD39"/>
    <mergeCell ref="CA38:CB38"/>
    <mergeCell ref="CC38:CE38"/>
    <mergeCell ref="CF38:CJ38"/>
    <mergeCell ref="CK38:CN38"/>
    <mergeCell ref="CO38:CU38"/>
    <mergeCell ref="CV38:CY38"/>
    <mergeCell ref="CZ36:DD36"/>
    <mergeCell ref="CA37:CB37"/>
    <mergeCell ref="CC37:CE37"/>
    <mergeCell ref="CF37:CJ37"/>
    <mergeCell ref="CK37:CN37"/>
    <mergeCell ref="CO37:CU37"/>
    <mergeCell ref="CV37:CY37"/>
    <mergeCell ref="CZ37:DD37"/>
    <mergeCell ref="CA36:CB36"/>
    <mergeCell ref="CC36:CE36"/>
    <mergeCell ref="CF36:CJ36"/>
    <mergeCell ref="CK36:CN36"/>
    <mergeCell ref="CO36:CU36"/>
    <mergeCell ref="CV36:CY36"/>
    <mergeCell ref="CZ34:DD34"/>
    <mergeCell ref="CA35:CB35"/>
    <mergeCell ref="CC35:CE35"/>
    <mergeCell ref="CF35:CJ35"/>
    <mergeCell ref="CK35:CN35"/>
    <mergeCell ref="CO35:CU35"/>
    <mergeCell ref="CV35:CY35"/>
    <mergeCell ref="CZ35:DD35"/>
    <mergeCell ref="CA34:CB34"/>
    <mergeCell ref="CC34:CE34"/>
    <mergeCell ref="CF34:CJ34"/>
    <mergeCell ref="CK34:CN34"/>
    <mergeCell ref="CO34:CU34"/>
    <mergeCell ref="CV34:CY34"/>
    <mergeCell ref="CZ32:DD32"/>
    <mergeCell ref="CA33:CB33"/>
    <mergeCell ref="CC33:CE33"/>
    <mergeCell ref="CF33:CJ33"/>
    <mergeCell ref="CK33:CN33"/>
    <mergeCell ref="CO33:CU33"/>
    <mergeCell ref="CV33:CY33"/>
    <mergeCell ref="CZ33:DD33"/>
    <mergeCell ref="CA32:CB32"/>
    <mergeCell ref="CC32:CE32"/>
    <mergeCell ref="CF32:CJ32"/>
    <mergeCell ref="CK32:CN32"/>
    <mergeCell ref="CO32:CU32"/>
    <mergeCell ref="CV32:CY32"/>
    <mergeCell ref="CZ30:DD30"/>
    <mergeCell ref="CA31:CB31"/>
    <mergeCell ref="CC31:CE31"/>
    <mergeCell ref="CF31:CJ31"/>
    <mergeCell ref="CK31:CN31"/>
    <mergeCell ref="CO31:CU31"/>
    <mergeCell ref="CV31:CY31"/>
    <mergeCell ref="CZ31:DD31"/>
    <mergeCell ref="CA30:CB30"/>
    <mergeCell ref="CC30:CE30"/>
    <mergeCell ref="CF30:CJ30"/>
    <mergeCell ref="CK30:CN30"/>
    <mergeCell ref="CO30:CU30"/>
    <mergeCell ref="CV30:CY30"/>
    <mergeCell ref="CZ28:DD28"/>
    <mergeCell ref="CA29:CB29"/>
    <mergeCell ref="CC29:CE29"/>
    <mergeCell ref="CF29:CJ29"/>
    <mergeCell ref="CK29:CN29"/>
    <mergeCell ref="CO29:CU29"/>
    <mergeCell ref="CV29:CY29"/>
    <mergeCell ref="CZ29:DD29"/>
    <mergeCell ref="CA28:CB28"/>
    <mergeCell ref="CC28:CE28"/>
    <mergeCell ref="CF28:CJ28"/>
    <mergeCell ref="CK28:CN28"/>
    <mergeCell ref="CO28:CU28"/>
    <mergeCell ref="CV28:CY28"/>
    <mergeCell ref="CZ26:DD26"/>
    <mergeCell ref="CA27:CB27"/>
    <mergeCell ref="CC27:CE27"/>
    <mergeCell ref="CF27:CJ27"/>
    <mergeCell ref="CK27:CN27"/>
    <mergeCell ref="CO27:CU27"/>
    <mergeCell ref="CV27:CY27"/>
    <mergeCell ref="CZ27:DD27"/>
    <mergeCell ref="CA26:CB26"/>
    <mergeCell ref="CC26:CE26"/>
    <mergeCell ref="CF26:CJ26"/>
    <mergeCell ref="CK26:CN26"/>
    <mergeCell ref="CO26:CU26"/>
    <mergeCell ref="CV26:CY26"/>
    <mergeCell ref="CZ24:DD24"/>
    <mergeCell ref="CA25:CB25"/>
    <mergeCell ref="CC25:CE25"/>
    <mergeCell ref="CF25:CJ25"/>
    <mergeCell ref="CK25:CN25"/>
    <mergeCell ref="CO25:CU25"/>
    <mergeCell ref="CV25:CY25"/>
    <mergeCell ref="CZ25:DD25"/>
    <mergeCell ref="CA24:CB24"/>
    <mergeCell ref="CC24:CE24"/>
    <mergeCell ref="CF24:CJ24"/>
    <mergeCell ref="CK24:CN24"/>
    <mergeCell ref="CO24:CU24"/>
    <mergeCell ref="CV24:CY24"/>
    <mergeCell ref="CZ22:DD22"/>
    <mergeCell ref="CA23:CB23"/>
    <mergeCell ref="CC23:CE23"/>
    <mergeCell ref="CF23:CJ23"/>
    <mergeCell ref="CK23:CN23"/>
    <mergeCell ref="CO23:CU23"/>
    <mergeCell ref="CV23:CY23"/>
    <mergeCell ref="CZ23:DD23"/>
    <mergeCell ref="CA22:CB22"/>
    <mergeCell ref="CC22:CE22"/>
    <mergeCell ref="CF22:CJ22"/>
    <mergeCell ref="CK22:CN22"/>
    <mergeCell ref="CO22:CU22"/>
    <mergeCell ref="CV22:CY22"/>
    <mergeCell ref="CZ19:DD19"/>
    <mergeCell ref="CA20:CY20"/>
    <mergeCell ref="CZ20:DD20"/>
    <mergeCell ref="CA21:CB21"/>
    <mergeCell ref="CC21:CE21"/>
    <mergeCell ref="CF21:CJ21"/>
    <mergeCell ref="CK21:CN21"/>
    <mergeCell ref="CO21:CU21"/>
    <mergeCell ref="CV21:CY21"/>
    <mergeCell ref="CZ21:DD21"/>
    <mergeCell ref="CA19:CB19"/>
    <mergeCell ref="CC19:CE19"/>
    <mergeCell ref="CF19:CJ19"/>
    <mergeCell ref="CK19:CN19"/>
    <mergeCell ref="CO19:CU19"/>
    <mergeCell ref="CV19:CY19"/>
    <mergeCell ref="CZ17:DD17"/>
    <mergeCell ref="CA18:CB18"/>
    <mergeCell ref="CC18:CE18"/>
    <mergeCell ref="CF18:CJ18"/>
    <mergeCell ref="CK18:CN18"/>
    <mergeCell ref="CO18:CU18"/>
    <mergeCell ref="CV18:CY18"/>
    <mergeCell ref="CZ18:DD18"/>
    <mergeCell ref="CA17:CB17"/>
    <mergeCell ref="CC17:CE17"/>
    <mergeCell ref="CF17:CJ17"/>
    <mergeCell ref="CK17:CN17"/>
    <mergeCell ref="CO17:CU17"/>
    <mergeCell ref="CV17:CY17"/>
    <mergeCell ref="CZ15:DD15"/>
    <mergeCell ref="CA16:CB16"/>
    <mergeCell ref="CC16:CE16"/>
    <mergeCell ref="CF16:CJ16"/>
    <mergeCell ref="CK16:CN16"/>
    <mergeCell ref="CO16:CU16"/>
    <mergeCell ref="CV16:CY16"/>
    <mergeCell ref="CZ16:DD16"/>
    <mergeCell ref="CA15:CB15"/>
    <mergeCell ref="CC15:CE15"/>
    <mergeCell ref="CF15:CJ15"/>
    <mergeCell ref="CK15:CN15"/>
    <mergeCell ref="CO15:CU15"/>
    <mergeCell ref="CV15:CY15"/>
    <mergeCell ref="CZ13:DD13"/>
    <mergeCell ref="CA14:CB14"/>
    <mergeCell ref="CC14:CE14"/>
    <mergeCell ref="CF14:CJ14"/>
    <mergeCell ref="CK14:CN14"/>
    <mergeCell ref="CO14:CU14"/>
    <mergeCell ref="CV14:CY14"/>
    <mergeCell ref="CZ14:DD14"/>
    <mergeCell ref="CA13:CB13"/>
    <mergeCell ref="CC13:CE13"/>
    <mergeCell ref="CF13:CJ13"/>
    <mergeCell ref="CK13:CN13"/>
    <mergeCell ref="CO13:CU13"/>
    <mergeCell ref="CV13:CY13"/>
    <mergeCell ref="CV11:CY11"/>
    <mergeCell ref="CZ11:DD11"/>
    <mergeCell ref="CA12:CB12"/>
    <mergeCell ref="CC12:CE12"/>
    <mergeCell ref="CF12:CJ12"/>
    <mergeCell ref="CK12:CN12"/>
    <mergeCell ref="CO12:CU12"/>
    <mergeCell ref="CV12:CY12"/>
    <mergeCell ref="CZ12:DD12"/>
    <mergeCell ref="CW6:CY6"/>
    <mergeCell ref="DA6:DD6"/>
    <mergeCell ref="CA7:DD7"/>
    <mergeCell ref="CA9:CD9"/>
    <mergeCell ref="CF9:DD9"/>
    <mergeCell ref="CA11:CB11"/>
    <mergeCell ref="CC11:CE11"/>
    <mergeCell ref="CF11:CJ11"/>
    <mergeCell ref="CK11:CN11"/>
    <mergeCell ref="CO11:CU11"/>
    <mergeCell ref="CA1:DD1"/>
    <mergeCell ref="CA2:DD2"/>
    <mergeCell ref="CA3:DD3"/>
    <mergeCell ref="CA4:DD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C833C-E1C7-45B5-A923-26BF1F7CD3B5}">
  <dimension ref="A1:DD24"/>
  <sheetViews>
    <sheetView topLeftCell="CA1" workbookViewId="0">
      <selection activeCell="CZ24" sqref="CZ24:DD24"/>
    </sheetView>
  </sheetViews>
  <sheetFormatPr defaultColWidth="2.88671875" defaultRowHeight="14.4" x14ac:dyDescent="0.3"/>
  <cols>
    <col min="1" max="1" width="5.44140625" hidden="1" customWidth="1"/>
    <col min="2" max="74" width="2.88671875" hidden="1" customWidth="1"/>
    <col min="75" max="75" width="19.33203125" hidden="1" customWidth="1"/>
    <col min="76" max="76" width="17.33203125" hidden="1" customWidth="1"/>
    <col min="77" max="78" width="2.88671875" hidden="1" customWidth="1"/>
  </cols>
  <sheetData>
    <row r="1" spans="1:108" x14ac:dyDescent="0.3">
      <c r="CA1" s="1" t="s">
        <v>0</v>
      </c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</row>
    <row r="2" spans="1:108" x14ac:dyDescent="0.3">
      <c r="CA2" s="1" t="s">
        <v>20</v>
      </c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</row>
    <row r="3" spans="1:108" x14ac:dyDescent="0.3">
      <c r="CA3" s="1" t="s">
        <v>21</v>
      </c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</row>
    <row r="4" spans="1:108" x14ac:dyDescent="0.3">
      <c r="CA4" s="1" t="s">
        <v>22</v>
      </c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</row>
    <row r="6" spans="1:108" x14ac:dyDescent="0.3">
      <c r="CW6" s="1" t="s">
        <v>2</v>
      </c>
      <c r="CX6" s="1"/>
      <c r="CY6" s="1"/>
      <c r="CZ6" t="s">
        <v>3</v>
      </c>
      <c r="DA6" s="1" t="s">
        <v>23</v>
      </c>
      <c r="DB6" s="1"/>
      <c r="DC6" s="1"/>
      <c r="DD6" s="1"/>
    </row>
    <row r="7" spans="1:108" x14ac:dyDescent="0.3">
      <c r="CA7" s="2" t="s">
        <v>19</v>
      </c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</row>
    <row r="9" spans="1:108" x14ac:dyDescent="0.3">
      <c r="CA9" s="3" t="s">
        <v>5</v>
      </c>
      <c r="CB9" s="3"/>
      <c r="CC9" s="3"/>
      <c r="CD9" s="3"/>
      <c r="CE9" t="s">
        <v>3</v>
      </c>
      <c r="CF9" s="3" t="s">
        <v>24</v>
      </c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</row>
    <row r="11" spans="1:108" x14ac:dyDescent="0.3">
      <c r="A11" t="s">
        <v>1</v>
      </c>
      <c r="BX11" t="s">
        <v>1</v>
      </c>
      <c r="CA11" s="4" t="s">
        <v>1</v>
      </c>
      <c r="CB11" s="4"/>
      <c r="CC11" s="4" t="s">
        <v>6</v>
      </c>
      <c r="CD11" s="4"/>
      <c r="CE11" s="4"/>
      <c r="CF11" s="4" t="s">
        <v>7</v>
      </c>
      <c r="CG11" s="4"/>
      <c r="CH11" s="4"/>
      <c r="CI11" s="4"/>
      <c r="CJ11" s="4"/>
      <c r="CK11" s="4" t="s">
        <v>8</v>
      </c>
      <c r="CL11" s="4"/>
      <c r="CM11" s="4"/>
      <c r="CN11" s="4"/>
      <c r="CO11" s="4" t="s">
        <v>9</v>
      </c>
      <c r="CP11" s="4"/>
      <c r="CQ11" s="4"/>
      <c r="CR11" s="4"/>
      <c r="CS11" s="4"/>
      <c r="CT11" s="4"/>
      <c r="CU11" s="4"/>
      <c r="CV11" s="4" t="s">
        <v>10</v>
      </c>
      <c r="CW11" s="4"/>
      <c r="CX11" s="4"/>
      <c r="CY11" s="4"/>
      <c r="CZ11" s="4" t="s">
        <v>11</v>
      </c>
      <c r="DA11" s="4"/>
      <c r="DB11" s="4"/>
      <c r="DC11" s="4"/>
      <c r="DD11" s="4"/>
    </row>
    <row r="12" spans="1:108" x14ac:dyDescent="0.3">
      <c r="A12">
        <f>CA12</f>
        <v>2024</v>
      </c>
      <c r="BW12" t="e">
        <f>COUNTIF($BX$12:BX12,BX12)&amp;BX12</f>
        <v>#REF!</v>
      </c>
      <c r="BX12" t="e">
        <f>#REF!&amp;#REF!</f>
        <v>#REF!</v>
      </c>
      <c r="CA12" s="5">
        <v>2024</v>
      </c>
      <c r="CB12" s="5"/>
      <c r="CC12" s="5" t="s">
        <v>15</v>
      </c>
      <c r="CD12" s="5"/>
      <c r="CE12" s="5"/>
      <c r="CF12" s="6">
        <v>100100289007</v>
      </c>
      <c r="CG12" s="6"/>
      <c r="CH12" s="6"/>
      <c r="CI12" s="6"/>
      <c r="CJ12" s="6"/>
      <c r="CK12" s="5" t="s">
        <v>29</v>
      </c>
      <c r="CL12" s="5"/>
      <c r="CM12" s="5"/>
      <c r="CN12" s="5"/>
      <c r="CO12" s="5" t="s">
        <v>30</v>
      </c>
      <c r="CP12" s="5"/>
      <c r="CQ12" s="5"/>
      <c r="CR12" s="5"/>
      <c r="CS12" s="5"/>
      <c r="CT12" s="5"/>
      <c r="CU12" s="5"/>
      <c r="CV12" s="7">
        <v>2800.64</v>
      </c>
      <c r="CW12" s="7"/>
      <c r="CX12" s="7"/>
      <c r="CY12" s="7"/>
      <c r="CZ12" s="8">
        <v>11858.66</v>
      </c>
      <c r="DA12" s="8"/>
      <c r="DB12" s="8"/>
      <c r="DC12" s="8"/>
      <c r="DD12" s="8"/>
    </row>
    <row r="13" spans="1:108" x14ac:dyDescent="0.3">
      <c r="A13">
        <f t="shared" ref="A13:A23" si="0">CA13</f>
        <v>2024</v>
      </c>
      <c r="BW13" t="e">
        <f>COUNTIF($BX$12:BX13,BX13)&amp;BX13</f>
        <v>#REF!</v>
      </c>
      <c r="BX13" t="e">
        <f>#REF!&amp;#REF!</f>
        <v>#REF!</v>
      </c>
      <c r="CA13" s="5">
        <v>2024</v>
      </c>
      <c r="CB13" s="5"/>
      <c r="CC13" s="5" t="s">
        <v>32</v>
      </c>
      <c r="CD13" s="5"/>
      <c r="CE13" s="5"/>
      <c r="CF13" s="6">
        <v>100100289007</v>
      </c>
      <c r="CG13" s="6"/>
      <c r="CH13" s="6"/>
      <c r="CI13" s="6"/>
      <c r="CJ13" s="6"/>
      <c r="CK13" s="5" t="s">
        <v>37</v>
      </c>
      <c r="CL13" s="5"/>
      <c r="CM13" s="5"/>
      <c r="CN13" s="5"/>
      <c r="CO13" s="5" t="s">
        <v>38</v>
      </c>
      <c r="CP13" s="5"/>
      <c r="CQ13" s="5"/>
      <c r="CR13" s="5"/>
      <c r="CS13" s="5"/>
      <c r="CT13" s="5"/>
      <c r="CU13" s="5"/>
      <c r="CV13" s="7">
        <v>2934.56</v>
      </c>
      <c r="CW13" s="7"/>
      <c r="CX13" s="7"/>
      <c r="CY13" s="7"/>
      <c r="CZ13" s="8">
        <v>12663.61</v>
      </c>
      <c r="DA13" s="8"/>
      <c r="DB13" s="8"/>
      <c r="DC13" s="8"/>
      <c r="DD13" s="8"/>
    </row>
    <row r="14" spans="1:108" x14ac:dyDescent="0.3">
      <c r="A14">
        <f t="shared" si="0"/>
        <v>2024</v>
      </c>
      <c r="BW14" t="e">
        <f>COUNTIF($BX$12:BX14,BX14)&amp;BX14</f>
        <v>#REF!</v>
      </c>
      <c r="BX14" t="e">
        <f>#REF!&amp;#REF!</f>
        <v>#REF!</v>
      </c>
      <c r="CA14" s="5">
        <v>2024</v>
      </c>
      <c r="CB14" s="5"/>
      <c r="CC14" s="5" t="s">
        <v>40</v>
      </c>
      <c r="CD14" s="5"/>
      <c r="CE14" s="5"/>
      <c r="CF14" s="6">
        <v>100100289007</v>
      </c>
      <c r="CG14" s="6"/>
      <c r="CH14" s="6"/>
      <c r="CI14" s="6"/>
      <c r="CJ14" s="6"/>
      <c r="CK14" s="5" t="s">
        <v>45</v>
      </c>
      <c r="CL14" s="5"/>
      <c r="CM14" s="5"/>
      <c r="CN14" s="5"/>
      <c r="CO14" s="5" t="s">
        <v>46</v>
      </c>
      <c r="CP14" s="5"/>
      <c r="CQ14" s="5"/>
      <c r="CR14" s="5"/>
      <c r="CS14" s="5"/>
      <c r="CT14" s="5"/>
      <c r="CU14" s="5"/>
      <c r="CV14" s="7">
        <v>2773.92</v>
      </c>
      <c r="CW14" s="7"/>
      <c r="CX14" s="7"/>
      <c r="CY14" s="7"/>
      <c r="CZ14" s="8">
        <v>11735.29</v>
      </c>
      <c r="DA14" s="8"/>
      <c r="DB14" s="8"/>
      <c r="DC14" s="8"/>
      <c r="DD14" s="8"/>
    </row>
    <row r="15" spans="1:108" x14ac:dyDescent="0.3">
      <c r="A15">
        <f t="shared" si="0"/>
        <v>2024</v>
      </c>
      <c r="BW15" t="e">
        <f>COUNTIF($BX$12:BX15,BX15)&amp;BX15</f>
        <v>#REF!</v>
      </c>
      <c r="BX15" t="e">
        <f>#REF!&amp;#REF!</f>
        <v>#REF!</v>
      </c>
      <c r="CA15" s="5">
        <v>2024</v>
      </c>
      <c r="CB15" s="5"/>
      <c r="CC15" s="5" t="s">
        <v>13</v>
      </c>
      <c r="CD15" s="5"/>
      <c r="CE15" s="5"/>
      <c r="CF15" s="6">
        <v>100100289007</v>
      </c>
      <c r="CG15" s="6"/>
      <c r="CH15" s="6"/>
      <c r="CI15" s="6"/>
      <c r="CJ15" s="6"/>
      <c r="CK15" s="5" t="s">
        <v>52</v>
      </c>
      <c r="CL15" s="5"/>
      <c r="CM15" s="5"/>
      <c r="CN15" s="5"/>
      <c r="CO15" s="5" t="s">
        <v>53</v>
      </c>
      <c r="CP15" s="5"/>
      <c r="CQ15" s="5"/>
      <c r="CR15" s="5"/>
      <c r="CS15" s="5"/>
      <c r="CT15" s="5"/>
      <c r="CU15" s="5"/>
      <c r="CV15" s="7">
        <v>2013.6</v>
      </c>
      <c r="CW15" s="7"/>
      <c r="CX15" s="7"/>
      <c r="CY15" s="7"/>
      <c r="CZ15" s="8">
        <v>8259.06</v>
      </c>
      <c r="DA15" s="8"/>
      <c r="DB15" s="8"/>
      <c r="DC15" s="8"/>
      <c r="DD15" s="8"/>
    </row>
    <row r="16" spans="1:108" x14ac:dyDescent="0.3">
      <c r="A16">
        <f t="shared" si="0"/>
        <v>2024</v>
      </c>
      <c r="BW16" t="e">
        <f>COUNTIF($BX$12:BX16,BX16)&amp;BX16</f>
        <v>#REF!</v>
      </c>
      <c r="BX16" t="e">
        <f>#REF!&amp;#REF!</f>
        <v>#REF!</v>
      </c>
      <c r="CA16" s="5">
        <v>2024</v>
      </c>
      <c r="CB16" s="5"/>
      <c r="CC16" s="5" t="s">
        <v>60</v>
      </c>
      <c r="CD16" s="5"/>
      <c r="CE16" s="5"/>
      <c r="CF16" s="6">
        <v>100100289007</v>
      </c>
      <c r="CG16" s="6"/>
      <c r="CH16" s="6"/>
      <c r="CI16" s="6"/>
      <c r="CJ16" s="6"/>
      <c r="CK16" s="5" t="s">
        <v>64</v>
      </c>
      <c r="CL16" s="5"/>
      <c r="CM16" s="5"/>
      <c r="CN16" s="5"/>
      <c r="CO16" s="5" t="s">
        <v>65</v>
      </c>
      <c r="CP16" s="5"/>
      <c r="CQ16" s="5"/>
      <c r="CR16" s="5"/>
      <c r="CS16" s="5"/>
      <c r="CT16" s="5"/>
      <c r="CU16" s="5"/>
      <c r="CV16" s="7">
        <v>1009.92</v>
      </c>
      <c r="CW16" s="7"/>
      <c r="CX16" s="7"/>
      <c r="CY16" s="7"/>
      <c r="CZ16" s="8">
        <v>3624.47</v>
      </c>
      <c r="DA16" s="8"/>
      <c r="DB16" s="8"/>
      <c r="DC16" s="8"/>
      <c r="DD16" s="8"/>
    </row>
    <row r="17" spans="1:108" x14ac:dyDescent="0.3">
      <c r="A17">
        <f t="shared" si="0"/>
        <v>2024</v>
      </c>
      <c r="BW17" t="e">
        <f>COUNTIF($BX$12:BX17,BX17)&amp;BX17</f>
        <v>#REF!</v>
      </c>
      <c r="BX17" t="e">
        <f>#REF!&amp;#REF!</f>
        <v>#REF!</v>
      </c>
      <c r="CA17" s="5">
        <v>2024</v>
      </c>
      <c r="CB17" s="5"/>
      <c r="CC17" s="5" t="s">
        <v>67</v>
      </c>
      <c r="CD17" s="5"/>
      <c r="CE17" s="5"/>
      <c r="CF17" s="6">
        <v>100100289007</v>
      </c>
      <c r="CG17" s="6"/>
      <c r="CH17" s="6"/>
      <c r="CI17" s="6"/>
      <c r="CJ17" s="6"/>
      <c r="CK17" s="5" t="s">
        <v>68</v>
      </c>
      <c r="CL17" s="5"/>
      <c r="CM17" s="5"/>
      <c r="CN17" s="5"/>
      <c r="CO17" s="5" t="s">
        <v>69</v>
      </c>
      <c r="CP17" s="5"/>
      <c r="CQ17" s="5"/>
      <c r="CR17" s="5"/>
      <c r="CS17" s="5"/>
      <c r="CT17" s="5"/>
      <c r="CU17" s="5"/>
      <c r="CV17" s="7">
        <v>637.91999999999996</v>
      </c>
      <c r="CW17" s="7"/>
      <c r="CX17" s="7"/>
      <c r="CY17" s="7"/>
      <c r="CZ17" s="8">
        <v>3048.77</v>
      </c>
      <c r="DA17" s="8"/>
      <c r="DB17" s="8"/>
      <c r="DC17" s="8"/>
      <c r="DD17" s="8"/>
    </row>
    <row r="18" spans="1:108" x14ac:dyDescent="0.3">
      <c r="A18" t="str">
        <f t="shared" si="0"/>
        <v/>
      </c>
      <c r="BW18" t="e">
        <f>COUNTIF($BX$12:BX18,BX18)&amp;BX18</f>
        <v>#REF!</v>
      </c>
      <c r="BX18" t="e">
        <f>#REF!&amp;#REF!</f>
        <v>#REF!</v>
      </c>
      <c r="CA18" s="5" t="s">
        <v>78</v>
      </c>
      <c r="CB18" s="5"/>
      <c r="CC18" s="5" t="s">
        <v>78</v>
      </c>
      <c r="CD18" s="5"/>
      <c r="CE18" s="5"/>
      <c r="CF18" s="6" t="s">
        <v>78</v>
      </c>
      <c r="CG18" s="6"/>
      <c r="CH18" s="6"/>
      <c r="CI18" s="6"/>
      <c r="CJ18" s="6"/>
      <c r="CK18" s="5" t="s">
        <v>78</v>
      </c>
      <c r="CL18" s="5"/>
      <c r="CM18" s="5"/>
      <c r="CN18" s="5"/>
      <c r="CO18" s="5" t="s">
        <v>78</v>
      </c>
      <c r="CP18" s="5"/>
      <c r="CQ18" s="5"/>
      <c r="CR18" s="5"/>
      <c r="CS18" s="5"/>
      <c r="CT18" s="5"/>
      <c r="CU18" s="5"/>
      <c r="CV18" s="7" t="s">
        <v>78</v>
      </c>
      <c r="CW18" s="7"/>
      <c r="CX18" s="7"/>
      <c r="CY18" s="7"/>
      <c r="CZ18" s="8" t="s">
        <v>78</v>
      </c>
      <c r="DA18" s="8"/>
      <c r="DB18" s="8"/>
      <c r="DC18" s="8"/>
      <c r="DD18" s="8"/>
    </row>
    <row r="19" spans="1:108" x14ac:dyDescent="0.3">
      <c r="A19" t="str">
        <f t="shared" si="0"/>
        <v/>
      </c>
      <c r="BW19" t="e">
        <f>COUNTIF($BX$12:BX19,BX19)&amp;BX19</f>
        <v>#REF!</v>
      </c>
      <c r="BX19" t="e">
        <f>#REF!&amp;#REF!</f>
        <v>#REF!</v>
      </c>
      <c r="CA19" s="5" t="s">
        <v>78</v>
      </c>
      <c r="CB19" s="5"/>
      <c r="CC19" s="5" t="s">
        <v>78</v>
      </c>
      <c r="CD19" s="5"/>
      <c r="CE19" s="5"/>
      <c r="CF19" s="6" t="s">
        <v>78</v>
      </c>
      <c r="CG19" s="6"/>
      <c r="CH19" s="6"/>
      <c r="CI19" s="6"/>
      <c r="CJ19" s="6"/>
      <c r="CK19" s="5" t="s">
        <v>78</v>
      </c>
      <c r="CL19" s="5"/>
      <c r="CM19" s="5"/>
      <c r="CN19" s="5"/>
      <c r="CO19" s="5" t="s">
        <v>78</v>
      </c>
      <c r="CP19" s="5"/>
      <c r="CQ19" s="5"/>
      <c r="CR19" s="5"/>
      <c r="CS19" s="5"/>
      <c r="CT19" s="5"/>
      <c r="CU19" s="5"/>
      <c r="CV19" s="7" t="s">
        <v>78</v>
      </c>
      <c r="CW19" s="7"/>
      <c r="CX19" s="7"/>
      <c r="CY19" s="7"/>
      <c r="CZ19" s="8" t="s">
        <v>78</v>
      </c>
      <c r="DA19" s="8"/>
      <c r="DB19" s="8"/>
      <c r="DC19" s="8"/>
      <c r="DD19" s="8"/>
    </row>
    <row r="20" spans="1:108" x14ac:dyDescent="0.3">
      <c r="A20" t="str">
        <f t="shared" si="0"/>
        <v/>
      </c>
      <c r="BW20" t="e">
        <f>COUNTIF($BX$12:BX20,BX20)&amp;BX20</f>
        <v>#REF!</v>
      </c>
      <c r="BX20" t="e">
        <f>#REF!&amp;#REF!</f>
        <v>#REF!</v>
      </c>
      <c r="CA20" s="5" t="s">
        <v>78</v>
      </c>
      <c r="CB20" s="5"/>
      <c r="CC20" s="5" t="s">
        <v>78</v>
      </c>
      <c r="CD20" s="5"/>
      <c r="CE20" s="5"/>
      <c r="CF20" s="6" t="s">
        <v>78</v>
      </c>
      <c r="CG20" s="6"/>
      <c r="CH20" s="6"/>
      <c r="CI20" s="6"/>
      <c r="CJ20" s="6"/>
      <c r="CK20" s="5" t="s">
        <v>78</v>
      </c>
      <c r="CL20" s="5"/>
      <c r="CM20" s="5"/>
      <c r="CN20" s="5"/>
      <c r="CO20" s="5" t="s">
        <v>78</v>
      </c>
      <c r="CP20" s="5"/>
      <c r="CQ20" s="5"/>
      <c r="CR20" s="5"/>
      <c r="CS20" s="5"/>
      <c r="CT20" s="5"/>
      <c r="CU20" s="5"/>
      <c r="CV20" s="7" t="s">
        <v>78</v>
      </c>
      <c r="CW20" s="7"/>
      <c r="CX20" s="7"/>
      <c r="CY20" s="7"/>
      <c r="CZ20" s="8" t="s">
        <v>78</v>
      </c>
      <c r="DA20" s="8"/>
      <c r="DB20" s="8"/>
      <c r="DC20" s="8"/>
      <c r="DD20" s="8"/>
    </row>
    <row r="21" spans="1:108" x14ac:dyDescent="0.3">
      <c r="A21" t="str">
        <f t="shared" si="0"/>
        <v/>
      </c>
      <c r="BW21" t="e">
        <f>COUNTIF($BX$12:BX21,BX21)&amp;BX21</f>
        <v>#REF!</v>
      </c>
      <c r="BX21" t="e">
        <f>#REF!&amp;#REF!</f>
        <v>#REF!</v>
      </c>
      <c r="CA21" s="5" t="s">
        <v>78</v>
      </c>
      <c r="CB21" s="5"/>
      <c r="CC21" s="5" t="s">
        <v>78</v>
      </c>
      <c r="CD21" s="5"/>
      <c r="CE21" s="5"/>
      <c r="CF21" s="6" t="s">
        <v>78</v>
      </c>
      <c r="CG21" s="6"/>
      <c r="CH21" s="6"/>
      <c r="CI21" s="6"/>
      <c r="CJ21" s="6"/>
      <c r="CK21" s="5" t="s">
        <v>78</v>
      </c>
      <c r="CL21" s="5"/>
      <c r="CM21" s="5"/>
      <c r="CN21" s="5"/>
      <c r="CO21" s="5" t="s">
        <v>78</v>
      </c>
      <c r="CP21" s="5"/>
      <c r="CQ21" s="5"/>
      <c r="CR21" s="5"/>
      <c r="CS21" s="5"/>
      <c r="CT21" s="5"/>
      <c r="CU21" s="5"/>
      <c r="CV21" s="7" t="s">
        <v>78</v>
      </c>
      <c r="CW21" s="7"/>
      <c r="CX21" s="7"/>
      <c r="CY21" s="7"/>
      <c r="CZ21" s="8" t="s">
        <v>78</v>
      </c>
      <c r="DA21" s="8"/>
      <c r="DB21" s="8"/>
      <c r="DC21" s="8"/>
      <c r="DD21" s="8"/>
    </row>
    <row r="22" spans="1:108" x14ac:dyDescent="0.3">
      <c r="A22" t="str">
        <f t="shared" si="0"/>
        <v/>
      </c>
      <c r="BW22" t="e">
        <f>COUNTIF($BX$12:BX22,BX22)&amp;BX22</f>
        <v>#REF!</v>
      </c>
      <c r="BX22" t="e">
        <f>#REF!&amp;#REF!</f>
        <v>#REF!</v>
      </c>
      <c r="CA22" s="5" t="s">
        <v>78</v>
      </c>
      <c r="CB22" s="5"/>
      <c r="CC22" s="5" t="s">
        <v>78</v>
      </c>
      <c r="CD22" s="5"/>
      <c r="CE22" s="5"/>
      <c r="CF22" s="6" t="s">
        <v>78</v>
      </c>
      <c r="CG22" s="6"/>
      <c r="CH22" s="6"/>
      <c r="CI22" s="6"/>
      <c r="CJ22" s="6"/>
      <c r="CK22" s="5" t="s">
        <v>78</v>
      </c>
      <c r="CL22" s="5"/>
      <c r="CM22" s="5"/>
      <c r="CN22" s="5"/>
      <c r="CO22" s="5" t="s">
        <v>78</v>
      </c>
      <c r="CP22" s="5"/>
      <c r="CQ22" s="5"/>
      <c r="CR22" s="5"/>
      <c r="CS22" s="5"/>
      <c r="CT22" s="5"/>
      <c r="CU22" s="5"/>
      <c r="CV22" s="7" t="s">
        <v>78</v>
      </c>
      <c r="CW22" s="7"/>
      <c r="CX22" s="7"/>
      <c r="CY22" s="7"/>
      <c r="CZ22" s="8" t="s">
        <v>78</v>
      </c>
      <c r="DA22" s="8"/>
      <c r="DB22" s="8"/>
      <c r="DC22" s="8"/>
      <c r="DD22" s="8"/>
    </row>
    <row r="23" spans="1:108" x14ac:dyDescent="0.3">
      <c r="A23" t="str">
        <f t="shared" si="0"/>
        <v/>
      </c>
      <c r="BW23" t="e">
        <f>COUNTIF($BX$12:BX23,BX23)&amp;BX23</f>
        <v>#REF!</v>
      </c>
      <c r="BX23" t="e">
        <f>#REF!&amp;#REF!</f>
        <v>#REF!</v>
      </c>
      <c r="CA23" s="5" t="s">
        <v>78</v>
      </c>
      <c r="CB23" s="5"/>
      <c r="CC23" s="5" t="s">
        <v>78</v>
      </c>
      <c r="CD23" s="5"/>
      <c r="CE23" s="5"/>
      <c r="CF23" s="6" t="s">
        <v>78</v>
      </c>
      <c r="CG23" s="6"/>
      <c r="CH23" s="6"/>
      <c r="CI23" s="6"/>
      <c r="CJ23" s="6"/>
      <c r="CK23" s="5" t="s">
        <v>78</v>
      </c>
      <c r="CL23" s="5"/>
      <c r="CM23" s="5"/>
      <c r="CN23" s="5"/>
      <c r="CO23" s="5" t="s">
        <v>78</v>
      </c>
      <c r="CP23" s="5"/>
      <c r="CQ23" s="5"/>
      <c r="CR23" s="5"/>
      <c r="CS23" s="5"/>
      <c r="CT23" s="5"/>
      <c r="CU23" s="5"/>
      <c r="CV23" s="7" t="s">
        <v>78</v>
      </c>
      <c r="CW23" s="7"/>
      <c r="CX23" s="7"/>
      <c r="CY23" s="7"/>
      <c r="CZ23" s="8" t="s">
        <v>78</v>
      </c>
      <c r="DA23" s="8"/>
      <c r="DB23" s="8"/>
      <c r="DC23" s="8"/>
      <c r="DD23" s="8"/>
    </row>
    <row r="24" spans="1:108" x14ac:dyDescent="0.3">
      <c r="CA24" s="13" t="s">
        <v>12</v>
      </c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4">
        <v>51189.859999999993</v>
      </c>
      <c r="DA24" s="15"/>
      <c r="DB24" s="15"/>
      <c r="DC24" s="15"/>
      <c r="DD24" s="15"/>
    </row>
  </sheetData>
  <sheetProtection autoFilter="0"/>
  <mergeCells count="102">
    <mergeCell ref="CZ23:DD23"/>
    <mergeCell ref="CA24:CY24"/>
    <mergeCell ref="CZ24:DD24"/>
    <mergeCell ref="CA23:CB23"/>
    <mergeCell ref="CC23:CE23"/>
    <mergeCell ref="CF23:CJ23"/>
    <mergeCell ref="CK23:CN23"/>
    <mergeCell ref="CO23:CU23"/>
    <mergeCell ref="CV23:CY23"/>
    <mergeCell ref="CZ21:DD21"/>
    <mergeCell ref="CA22:CB22"/>
    <mergeCell ref="CC22:CE22"/>
    <mergeCell ref="CF22:CJ22"/>
    <mergeCell ref="CK22:CN22"/>
    <mergeCell ref="CO22:CU22"/>
    <mergeCell ref="CV22:CY22"/>
    <mergeCell ref="CZ22:DD22"/>
    <mergeCell ref="CA21:CB21"/>
    <mergeCell ref="CC21:CE21"/>
    <mergeCell ref="CF21:CJ21"/>
    <mergeCell ref="CK21:CN21"/>
    <mergeCell ref="CO21:CU21"/>
    <mergeCell ref="CV21:CY21"/>
    <mergeCell ref="CZ19:DD19"/>
    <mergeCell ref="CA20:CB20"/>
    <mergeCell ref="CC20:CE20"/>
    <mergeCell ref="CF20:CJ20"/>
    <mergeCell ref="CK20:CN20"/>
    <mergeCell ref="CO20:CU20"/>
    <mergeCell ref="CV20:CY20"/>
    <mergeCell ref="CZ20:DD20"/>
    <mergeCell ref="CA19:CB19"/>
    <mergeCell ref="CC19:CE19"/>
    <mergeCell ref="CF19:CJ19"/>
    <mergeCell ref="CK19:CN19"/>
    <mergeCell ref="CO19:CU19"/>
    <mergeCell ref="CV19:CY19"/>
    <mergeCell ref="CZ17:DD17"/>
    <mergeCell ref="CA18:CB18"/>
    <mergeCell ref="CC18:CE18"/>
    <mergeCell ref="CF18:CJ18"/>
    <mergeCell ref="CK18:CN18"/>
    <mergeCell ref="CO18:CU18"/>
    <mergeCell ref="CV18:CY18"/>
    <mergeCell ref="CZ18:DD18"/>
    <mergeCell ref="CA17:CB17"/>
    <mergeCell ref="CC17:CE17"/>
    <mergeCell ref="CF17:CJ17"/>
    <mergeCell ref="CK17:CN17"/>
    <mergeCell ref="CO17:CU17"/>
    <mergeCell ref="CV17:CY17"/>
    <mergeCell ref="CZ15:DD15"/>
    <mergeCell ref="CA16:CB16"/>
    <mergeCell ref="CC16:CE16"/>
    <mergeCell ref="CF16:CJ16"/>
    <mergeCell ref="CK16:CN16"/>
    <mergeCell ref="CO16:CU16"/>
    <mergeCell ref="CV16:CY16"/>
    <mergeCell ref="CZ16:DD16"/>
    <mergeCell ref="CA15:CB15"/>
    <mergeCell ref="CC15:CE15"/>
    <mergeCell ref="CF15:CJ15"/>
    <mergeCell ref="CK15:CN15"/>
    <mergeCell ref="CO15:CU15"/>
    <mergeCell ref="CV15:CY15"/>
    <mergeCell ref="CZ13:DD13"/>
    <mergeCell ref="CA14:CB14"/>
    <mergeCell ref="CC14:CE14"/>
    <mergeCell ref="CF14:CJ14"/>
    <mergeCell ref="CK14:CN14"/>
    <mergeCell ref="CO14:CU14"/>
    <mergeCell ref="CV14:CY14"/>
    <mergeCell ref="CZ14:DD14"/>
    <mergeCell ref="CA13:CB13"/>
    <mergeCell ref="CC13:CE13"/>
    <mergeCell ref="CF13:CJ13"/>
    <mergeCell ref="CK13:CN13"/>
    <mergeCell ref="CO13:CU13"/>
    <mergeCell ref="CV13:CY13"/>
    <mergeCell ref="CZ11:DD11"/>
    <mergeCell ref="CA12:CB12"/>
    <mergeCell ref="CC12:CE12"/>
    <mergeCell ref="CF12:CJ12"/>
    <mergeCell ref="CK12:CN12"/>
    <mergeCell ref="CO12:CU12"/>
    <mergeCell ref="CV12:CY12"/>
    <mergeCell ref="CZ12:DD12"/>
    <mergeCell ref="DA6:DD6"/>
    <mergeCell ref="CA7:DD7"/>
    <mergeCell ref="CA9:CD9"/>
    <mergeCell ref="CF9:DD9"/>
    <mergeCell ref="CA11:CB11"/>
    <mergeCell ref="CC11:CE11"/>
    <mergeCell ref="CF11:CJ11"/>
    <mergeCell ref="CK11:CN11"/>
    <mergeCell ref="CO11:CU11"/>
    <mergeCell ref="CV11:CY11"/>
    <mergeCell ref="CA1:DD1"/>
    <mergeCell ref="CA2:DD2"/>
    <mergeCell ref="CA3:DD3"/>
    <mergeCell ref="CA4:DD4"/>
    <mergeCell ref="CW6:CY6"/>
  </mergeCells>
  <pageMargins left="0.70866141732283472" right="0.70866141732283472" top="0.74803149606299213" bottom="0.74803149606299213" header="0.31496062992125984" footer="0.31496062992125984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E73AB-B337-40CF-8A68-529B1B6F6C85}">
  <sheetPr>
    <pageSetUpPr fitToPage="1"/>
  </sheetPr>
  <dimension ref="A1:DV79"/>
  <sheetViews>
    <sheetView topLeftCell="CA1" workbookViewId="0">
      <selection activeCell="DM11" sqref="DM11"/>
    </sheetView>
  </sheetViews>
  <sheetFormatPr defaultColWidth="2.88671875" defaultRowHeight="14.4" x14ac:dyDescent="0.3"/>
  <cols>
    <col min="1" max="1" width="5.44140625" hidden="1" customWidth="1"/>
    <col min="2" max="73" width="2.88671875" hidden="1" customWidth="1"/>
    <col min="74" max="74" width="10.33203125" hidden="1" customWidth="1"/>
    <col min="75" max="75" width="16.33203125" hidden="1" customWidth="1"/>
    <col min="76" max="76" width="19.6640625" hidden="1" customWidth="1"/>
    <col min="77" max="77" width="17.44140625" hidden="1" customWidth="1"/>
    <col min="78" max="78" width="2.88671875" hidden="1" customWidth="1"/>
    <col min="80" max="80" width="2.88671875" customWidth="1"/>
  </cols>
  <sheetData>
    <row r="1" spans="76:126" x14ac:dyDescent="0.3">
      <c r="CA1" s="1" t="s">
        <v>0</v>
      </c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</row>
    <row r="2" spans="76:126" ht="15" customHeight="1" x14ac:dyDescent="0.3">
      <c r="CA2" s="1" t="s">
        <v>20</v>
      </c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</row>
    <row r="3" spans="76:126" ht="15" customHeight="1" x14ac:dyDescent="0.3">
      <c r="CA3" s="1" t="s">
        <v>21</v>
      </c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</row>
    <row r="4" spans="76:126" ht="15" customHeight="1" x14ac:dyDescent="0.3">
      <c r="CA4" s="1" t="s">
        <v>22</v>
      </c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</row>
    <row r="5" spans="76:126" ht="15.75" customHeight="1" x14ac:dyDescent="0.3"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</row>
    <row r="6" spans="76:126" ht="15" customHeight="1" x14ac:dyDescent="0.3">
      <c r="CW6" s="1" t="s">
        <v>2</v>
      </c>
      <c r="CX6" s="1"/>
      <c r="CY6" s="1"/>
      <c r="CZ6" t="s">
        <v>3</v>
      </c>
      <c r="DA6" s="1" t="s">
        <v>23</v>
      </c>
      <c r="DB6" s="1"/>
      <c r="DC6" s="1"/>
      <c r="DD6" s="1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</row>
    <row r="7" spans="76:126" ht="15" customHeight="1" x14ac:dyDescent="0.3">
      <c r="CA7" s="2" t="s">
        <v>16</v>
      </c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</row>
    <row r="9" spans="76:126" s="29" customFormat="1" ht="31.5" customHeight="1" x14ac:dyDescent="0.3">
      <c r="CA9" s="30" t="s">
        <v>5</v>
      </c>
      <c r="CB9" s="30"/>
      <c r="CC9" s="30"/>
      <c r="CD9" s="30"/>
      <c r="CE9" s="29" t="s">
        <v>3</v>
      </c>
      <c r="CF9" s="31" t="s">
        <v>84</v>
      </c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</row>
    <row r="11" spans="76:126" s="18" customFormat="1" ht="24" customHeight="1" x14ac:dyDescent="0.3">
      <c r="CA11" s="19" t="s">
        <v>1</v>
      </c>
      <c r="CB11" s="19"/>
      <c r="CC11" s="19" t="s">
        <v>6</v>
      </c>
      <c r="CD11" s="19"/>
      <c r="CE11" s="19"/>
      <c r="CF11" s="19" t="s">
        <v>7</v>
      </c>
      <c r="CG11" s="19"/>
      <c r="CH11" s="19"/>
      <c r="CI11" s="19"/>
      <c r="CJ11" s="19"/>
      <c r="CK11" s="19" t="s">
        <v>8</v>
      </c>
      <c r="CL11" s="19"/>
      <c r="CM11" s="19"/>
      <c r="CN11" s="19"/>
      <c r="CO11" s="19" t="s">
        <v>9</v>
      </c>
      <c r="CP11" s="19"/>
      <c r="CQ11" s="19"/>
      <c r="CR11" s="19"/>
      <c r="CS11" s="19"/>
      <c r="CT11" s="19"/>
      <c r="CU11" s="19"/>
      <c r="CV11" s="19" t="s">
        <v>10</v>
      </c>
      <c r="CW11" s="19"/>
      <c r="CX11" s="19"/>
      <c r="CY11" s="19"/>
      <c r="CZ11" s="19" t="s">
        <v>11</v>
      </c>
      <c r="DA11" s="19"/>
      <c r="DB11" s="19"/>
      <c r="DC11" s="19"/>
      <c r="DD11" s="19"/>
    </row>
    <row r="12" spans="76:126" s="18" customFormat="1" ht="24" customHeight="1" x14ac:dyDescent="0.3">
      <c r="BX12" s="18" t="e">
        <f>COUNTIF($BY$12:BY12,BY12)&amp;BY12</f>
        <v>#REF!</v>
      </c>
      <c r="BY12" s="18" t="e">
        <f>#REF!&amp;#REF!&amp;#REF!</f>
        <v>#REF!</v>
      </c>
      <c r="CA12" s="20">
        <v>2026</v>
      </c>
      <c r="CB12" s="20"/>
      <c r="CC12" s="20" t="s">
        <v>15</v>
      </c>
      <c r="CD12" s="20"/>
      <c r="CE12" s="20"/>
      <c r="CF12" s="21">
        <v>165544</v>
      </c>
      <c r="CG12" s="21"/>
      <c r="CH12" s="21"/>
      <c r="CI12" s="21"/>
      <c r="CJ12" s="21"/>
      <c r="CK12" s="20" t="s">
        <v>80</v>
      </c>
      <c r="CL12" s="20"/>
      <c r="CM12" s="20"/>
      <c r="CN12" s="20"/>
      <c r="CO12" s="22" t="s">
        <v>81</v>
      </c>
      <c r="CP12" s="22"/>
      <c r="CQ12" s="22"/>
      <c r="CR12" s="22"/>
      <c r="CS12" s="22"/>
      <c r="CT12" s="22"/>
      <c r="CU12" s="22"/>
      <c r="CV12" s="23">
        <v>63100.480000000003</v>
      </c>
      <c r="CW12" s="23"/>
      <c r="CX12" s="23"/>
      <c r="CY12" s="23"/>
      <c r="CZ12" s="24">
        <v>130913.59</v>
      </c>
      <c r="DA12" s="24"/>
      <c r="DB12" s="24"/>
      <c r="DC12" s="24"/>
      <c r="DD12" s="24"/>
    </row>
    <row r="13" spans="76:126" s="18" customFormat="1" ht="24" customHeight="1" x14ac:dyDescent="0.3">
      <c r="BX13" s="18" t="e">
        <f>COUNTIF($BY$12:BY13,BY13)&amp;BY13</f>
        <v>#REF!</v>
      </c>
      <c r="BY13" s="18" t="e">
        <f>#REF!&amp;#REF!&amp;#REF!</f>
        <v>#REF!</v>
      </c>
      <c r="CA13" s="20">
        <v>2026</v>
      </c>
      <c r="CB13" s="20"/>
      <c r="CC13" s="20" t="s">
        <v>15</v>
      </c>
      <c r="CD13" s="20"/>
      <c r="CE13" s="20"/>
      <c r="CF13" s="21">
        <v>167440</v>
      </c>
      <c r="CG13" s="21"/>
      <c r="CH13" s="21"/>
      <c r="CI13" s="21"/>
      <c r="CJ13" s="21"/>
      <c r="CK13" s="20" t="s">
        <v>80</v>
      </c>
      <c r="CL13" s="20"/>
      <c r="CM13" s="20"/>
      <c r="CN13" s="20"/>
      <c r="CO13" s="22" t="s">
        <v>82</v>
      </c>
      <c r="CP13" s="22"/>
      <c r="CQ13" s="22"/>
      <c r="CR13" s="22"/>
      <c r="CS13" s="22"/>
      <c r="CT13" s="22"/>
      <c r="CU13" s="22"/>
      <c r="CV13" s="23">
        <v>60140.87</v>
      </c>
      <c r="CW13" s="23"/>
      <c r="CX13" s="23"/>
      <c r="CY13" s="23"/>
      <c r="CZ13" s="24">
        <v>124773.34</v>
      </c>
      <c r="DA13" s="24"/>
      <c r="DB13" s="24"/>
      <c r="DC13" s="24"/>
      <c r="DD13" s="24"/>
    </row>
    <row r="14" spans="76:126" s="18" customFormat="1" ht="24" customHeight="1" x14ac:dyDescent="0.3">
      <c r="BX14" s="18" t="e">
        <f>COUNTIF($BY$12:BY14,BY14)&amp;BY14</f>
        <v>#REF!</v>
      </c>
      <c r="BY14" s="18" t="e">
        <f>#REF!&amp;#REF!&amp;#REF!</f>
        <v>#REF!</v>
      </c>
      <c r="CA14" s="20">
        <v>2026</v>
      </c>
      <c r="CB14" s="20"/>
      <c r="CC14" s="20" t="s">
        <v>15</v>
      </c>
      <c r="CD14" s="20"/>
      <c r="CE14" s="20"/>
      <c r="CF14" s="21">
        <v>194975</v>
      </c>
      <c r="CG14" s="21"/>
      <c r="CH14" s="21"/>
      <c r="CI14" s="21"/>
      <c r="CJ14" s="21"/>
      <c r="CK14" s="20" t="s">
        <v>80</v>
      </c>
      <c r="CL14" s="20"/>
      <c r="CM14" s="20"/>
      <c r="CN14" s="20"/>
      <c r="CO14" s="22" t="s">
        <v>83</v>
      </c>
      <c r="CP14" s="22"/>
      <c r="CQ14" s="22"/>
      <c r="CR14" s="22"/>
      <c r="CS14" s="22"/>
      <c r="CT14" s="22"/>
      <c r="CU14" s="22"/>
      <c r="CV14" s="23">
        <v>594.45000000000005</v>
      </c>
      <c r="CW14" s="23"/>
      <c r="CX14" s="23"/>
      <c r="CY14" s="23"/>
      <c r="CZ14" s="24">
        <v>1233.3</v>
      </c>
      <c r="DA14" s="24"/>
      <c r="DB14" s="24"/>
      <c r="DC14" s="24"/>
      <c r="DD14" s="24"/>
    </row>
    <row r="15" spans="76:126" s="18" customFormat="1" ht="24" customHeight="1" x14ac:dyDescent="0.3">
      <c r="BX15" s="18" t="e">
        <f>COUNTIF($BY$12:BY15,BY15)&amp;BY15</f>
        <v>#REF!</v>
      </c>
      <c r="BY15" s="18" t="e">
        <f>#REF!&amp;#REF!&amp;#REF!</f>
        <v>#REF!</v>
      </c>
      <c r="CA15" s="20" t="s">
        <v>78</v>
      </c>
      <c r="CB15" s="20"/>
      <c r="CC15" s="20" t="s">
        <v>78</v>
      </c>
      <c r="CD15" s="20"/>
      <c r="CE15" s="20"/>
      <c r="CF15" s="21" t="s">
        <v>78</v>
      </c>
      <c r="CG15" s="21"/>
      <c r="CH15" s="21"/>
      <c r="CI15" s="21"/>
      <c r="CJ15" s="21"/>
      <c r="CK15" s="20" t="s">
        <v>78</v>
      </c>
      <c r="CL15" s="20"/>
      <c r="CM15" s="20"/>
      <c r="CN15" s="20"/>
      <c r="CO15" s="22" t="s">
        <v>78</v>
      </c>
      <c r="CP15" s="22"/>
      <c r="CQ15" s="22"/>
      <c r="CR15" s="22"/>
      <c r="CS15" s="22"/>
      <c r="CT15" s="22"/>
      <c r="CU15" s="22"/>
      <c r="CV15" s="23" t="s">
        <v>78</v>
      </c>
      <c r="CW15" s="23"/>
      <c r="CX15" s="23"/>
      <c r="CY15" s="23"/>
      <c r="CZ15" s="24" t="s">
        <v>78</v>
      </c>
      <c r="DA15" s="24"/>
      <c r="DB15" s="24"/>
      <c r="DC15" s="24"/>
      <c r="DD15" s="24"/>
    </row>
    <row r="16" spans="76:126" s="18" customFormat="1" ht="24" customHeight="1" x14ac:dyDescent="0.3">
      <c r="BX16" s="18" t="e">
        <f>COUNTIF($BY$12:BY16,BY16)&amp;BY16</f>
        <v>#REF!</v>
      </c>
      <c r="BY16" s="18" t="e">
        <f>#REF!&amp;#REF!&amp;#REF!</f>
        <v>#REF!</v>
      </c>
      <c r="CA16" s="20" t="s">
        <v>78</v>
      </c>
      <c r="CB16" s="20"/>
      <c r="CC16" s="20" t="s">
        <v>78</v>
      </c>
      <c r="CD16" s="20"/>
      <c r="CE16" s="20"/>
      <c r="CF16" s="21" t="s">
        <v>78</v>
      </c>
      <c r="CG16" s="21"/>
      <c r="CH16" s="21"/>
      <c r="CI16" s="21"/>
      <c r="CJ16" s="21"/>
      <c r="CK16" s="20" t="s">
        <v>78</v>
      </c>
      <c r="CL16" s="20"/>
      <c r="CM16" s="20"/>
      <c r="CN16" s="20"/>
      <c r="CO16" s="22" t="s">
        <v>78</v>
      </c>
      <c r="CP16" s="22"/>
      <c r="CQ16" s="22"/>
      <c r="CR16" s="22"/>
      <c r="CS16" s="22"/>
      <c r="CT16" s="22"/>
      <c r="CU16" s="22"/>
      <c r="CV16" s="23" t="s">
        <v>78</v>
      </c>
      <c r="CW16" s="23"/>
      <c r="CX16" s="23"/>
      <c r="CY16" s="23"/>
      <c r="CZ16" s="24" t="s">
        <v>78</v>
      </c>
      <c r="DA16" s="24"/>
      <c r="DB16" s="24"/>
      <c r="DC16" s="24"/>
      <c r="DD16" s="24"/>
    </row>
    <row r="17" spans="76:108" s="18" customFormat="1" ht="24" customHeight="1" x14ac:dyDescent="0.3">
      <c r="BX17" s="18" t="e">
        <f>COUNTIF($BY$12:BY17,BY17)&amp;BY17</f>
        <v>#REF!</v>
      </c>
      <c r="BY17" s="18" t="e">
        <f>#REF!&amp;#REF!&amp;#REF!</f>
        <v>#REF!</v>
      </c>
      <c r="CA17" s="20" t="s">
        <v>78</v>
      </c>
      <c r="CB17" s="20"/>
      <c r="CC17" s="20" t="s">
        <v>78</v>
      </c>
      <c r="CD17" s="20"/>
      <c r="CE17" s="20"/>
      <c r="CF17" s="21" t="s">
        <v>78</v>
      </c>
      <c r="CG17" s="21"/>
      <c r="CH17" s="21"/>
      <c r="CI17" s="21"/>
      <c r="CJ17" s="21"/>
      <c r="CK17" s="20" t="s">
        <v>78</v>
      </c>
      <c r="CL17" s="20"/>
      <c r="CM17" s="20"/>
      <c r="CN17" s="20"/>
      <c r="CO17" s="22" t="s">
        <v>78</v>
      </c>
      <c r="CP17" s="22"/>
      <c r="CQ17" s="22"/>
      <c r="CR17" s="22"/>
      <c r="CS17" s="22"/>
      <c r="CT17" s="22"/>
      <c r="CU17" s="22"/>
      <c r="CV17" s="23" t="s">
        <v>78</v>
      </c>
      <c r="CW17" s="23"/>
      <c r="CX17" s="23"/>
      <c r="CY17" s="23"/>
      <c r="CZ17" s="24" t="s">
        <v>78</v>
      </c>
      <c r="DA17" s="24"/>
      <c r="DB17" s="24"/>
      <c r="DC17" s="24"/>
      <c r="DD17" s="24"/>
    </row>
    <row r="18" spans="76:108" s="18" customFormat="1" ht="24" customHeight="1" x14ac:dyDescent="0.3">
      <c r="BX18" s="18" t="e">
        <f>COUNTIF($BY$12:BY18,BY18)&amp;BY18</f>
        <v>#REF!</v>
      </c>
      <c r="BY18" s="18" t="e">
        <f>#REF!&amp;#REF!&amp;#REF!</f>
        <v>#REF!</v>
      </c>
      <c r="CA18" s="20" t="s">
        <v>78</v>
      </c>
      <c r="CB18" s="20"/>
      <c r="CC18" s="20" t="s">
        <v>78</v>
      </c>
      <c r="CD18" s="20"/>
      <c r="CE18" s="20"/>
      <c r="CF18" s="21" t="s">
        <v>78</v>
      </c>
      <c r="CG18" s="21"/>
      <c r="CH18" s="21"/>
      <c r="CI18" s="21"/>
      <c r="CJ18" s="21"/>
      <c r="CK18" s="20" t="s">
        <v>78</v>
      </c>
      <c r="CL18" s="20"/>
      <c r="CM18" s="20"/>
      <c r="CN18" s="20"/>
      <c r="CO18" s="22" t="s">
        <v>78</v>
      </c>
      <c r="CP18" s="22"/>
      <c r="CQ18" s="22"/>
      <c r="CR18" s="22"/>
      <c r="CS18" s="22"/>
      <c r="CT18" s="22"/>
      <c r="CU18" s="22"/>
      <c r="CV18" s="23" t="s">
        <v>78</v>
      </c>
      <c r="CW18" s="23"/>
      <c r="CX18" s="23"/>
      <c r="CY18" s="23"/>
      <c r="CZ18" s="24" t="s">
        <v>78</v>
      </c>
      <c r="DA18" s="24"/>
      <c r="DB18" s="24"/>
      <c r="DC18" s="24"/>
      <c r="DD18" s="24"/>
    </row>
    <row r="19" spans="76:108" s="18" customFormat="1" ht="24" customHeight="1" x14ac:dyDescent="0.3">
      <c r="BX19" s="18" t="e">
        <f>COUNTIF($BY$12:BY19,BY19)&amp;BY19</f>
        <v>#REF!</v>
      </c>
      <c r="BY19" s="18" t="e">
        <f>#REF!&amp;#REF!&amp;#REF!</f>
        <v>#REF!</v>
      </c>
      <c r="CA19" s="20" t="s">
        <v>78</v>
      </c>
      <c r="CB19" s="20"/>
      <c r="CC19" s="20" t="s">
        <v>78</v>
      </c>
      <c r="CD19" s="20"/>
      <c r="CE19" s="20"/>
      <c r="CF19" s="21" t="s">
        <v>78</v>
      </c>
      <c r="CG19" s="21"/>
      <c r="CH19" s="21"/>
      <c r="CI19" s="21"/>
      <c r="CJ19" s="21"/>
      <c r="CK19" s="20" t="s">
        <v>78</v>
      </c>
      <c r="CL19" s="20"/>
      <c r="CM19" s="20"/>
      <c r="CN19" s="20"/>
      <c r="CO19" s="22" t="s">
        <v>78</v>
      </c>
      <c r="CP19" s="22"/>
      <c r="CQ19" s="22"/>
      <c r="CR19" s="22"/>
      <c r="CS19" s="22"/>
      <c r="CT19" s="22"/>
      <c r="CU19" s="22"/>
      <c r="CV19" s="23" t="s">
        <v>78</v>
      </c>
      <c r="CW19" s="23"/>
      <c r="CX19" s="23"/>
      <c r="CY19" s="23"/>
      <c r="CZ19" s="24" t="s">
        <v>78</v>
      </c>
      <c r="DA19" s="24"/>
      <c r="DB19" s="24"/>
      <c r="DC19" s="24"/>
      <c r="DD19" s="24"/>
    </row>
    <row r="20" spans="76:108" ht="24" customHeight="1" x14ac:dyDescent="0.3">
      <c r="CA20" s="25" t="s">
        <v>17</v>
      </c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32">
        <v>123835.8</v>
      </c>
      <c r="CW20" s="32"/>
      <c r="CX20" s="32"/>
      <c r="CY20" s="32"/>
      <c r="CZ20" s="33">
        <v>256920.22999999998</v>
      </c>
      <c r="DA20" s="33"/>
      <c r="DB20" s="33"/>
      <c r="DC20" s="33"/>
      <c r="DD20" s="33"/>
    </row>
    <row r="21" spans="76:108" x14ac:dyDescent="0.3">
      <c r="CA21" s="17"/>
      <c r="CB21" s="17"/>
      <c r="CC21" s="17"/>
      <c r="CD21" s="17"/>
      <c r="CE21" s="17"/>
      <c r="CF21" s="26"/>
      <c r="CG21" s="26"/>
      <c r="CH21" s="26"/>
      <c r="CI21" s="26"/>
      <c r="CJ21" s="26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27"/>
      <c r="CW21" s="27"/>
      <c r="CX21" s="27"/>
      <c r="CY21" s="27"/>
      <c r="CZ21" s="28"/>
      <c r="DA21" s="28"/>
      <c r="DB21" s="28"/>
      <c r="DC21" s="28"/>
      <c r="DD21" s="28"/>
    </row>
    <row r="22" spans="76:108" x14ac:dyDescent="0.3">
      <c r="CA22" s="17"/>
      <c r="CB22" s="17"/>
      <c r="CC22" s="17"/>
      <c r="CD22" s="17"/>
      <c r="CE22" s="17"/>
      <c r="CF22" s="26"/>
      <c r="CG22" s="26"/>
      <c r="CH22" s="26"/>
      <c r="CI22" s="26"/>
      <c r="CJ22" s="26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27"/>
      <c r="CW22" s="27"/>
      <c r="CX22" s="27"/>
      <c r="CY22" s="27"/>
      <c r="CZ22" s="28"/>
      <c r="DA22" s="28"/>
      <c r="DB22" s="28"/>
      <c r="DC22" s="28"/>
      <c r="DD22" s="28"/>
    </row>
    <row r="23" spans="76:108" x14ac:dyDescent="0.3">
      <c r="CA23" s="17"/>
      <c r="CB23" s="17"/>
      <c r="CC23" s="17"/>
      <c r="CD23" s="17"/>
      <c r="CE23" s="17"/>
      <c r="CF23" s="26"/>
      <c r="CG23" s="26"/>
      <c r="CH23" s="26"/>
      <c r="CI23" s="26"/>
      <c r="CJ23" s="26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27"/>
      <c r="CW23" s="27"/>
      <c r="CX23" s="27"/>
      <c r="CY23" s="27"/>
      <c r="CZ23" s="28"/>
      <c r="DA23" s="28"/>
      <c r="DB23" s="28"/>
      <c r="DC23" s="28"/>
      <c r="DD23" s="28"/>
    </row>
    <row r="24" spans="76:108" x14ac:dyDescent="0.3">
      <c r="CA24" s="17"/>
      <c r="CB24" s="17"/>
      <c r="CC24" s="17"/>
      <c r="CD24" s="17"/>
      <c r="CE24" s="17"/>
      <c r="CF24" s="26"/>
      <c r="CG24" s="26"/>
      <c r="CH24" s="26"/>
      <c r="CI24" s="26"/>
      <c r="CJ24" s="26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27"/>
      <c r="CW24" s="27"/>
      <c r="CX24" s="27"/>
      <c r="CY24" s="27"/>
      <c r="CZ24" s="28"/>
      <c r="DA24" s="28"/>
      <c r="DB24" s="28"/>
      <c r="DC24" s="28"/>
      <c r="DD24" s="28"/>
    </row>
    <row r="25" spans="76:108" x14ac:dyDescent="0.3">
      <c r="CA25" s="17"/>
      <c r="CB25" s="17"/>
      <c r="CC25" s="17"/>
      <c r="CD25" s="17"/>
      <c r="CE25" s="17"/>
      <c r="CF25" s="26"/>
      <c r="CG25" s="26"/>
      <c r="CH25" s="26"/>
      <c r="CI25" s="26"/>
      <c r="CJ25" s="26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27"/>
      <c r="CW25" s="27"/>
      <c r="CX25" s="27"/>
      <c r="CY25" s="27"/>
      <c r="CZ25" s="28"/>
      <c r="DA25" s="28"/>
      <c r="DB25" s="28"/>
      <c r="DC25" s="28"/>
      <c r="DD25" s="28"/>
    </row>
    <row r="26" spans="76:108" x14ac:dyDescent="0.3">
      <c r="CA26" s="17"/>
      <c r="CB26" s="17"/>
      <c r="CC26" s="17"/>
      <c r="CD26" s="17"/>
      <c r="CE26" s="17"/>
      <c r="CF26" s="26"/>
      <c r="CG26" s="26"/>
      <c r="CH26" s="26"/>
      <c r="CI26" s="26"/>
      <c r="CJ26" s="26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27"/>
      <c r="CW26" s="27"/>
      <c r="CX26" s="27"/>
      <c r="CY26" s="27"/>
      <c r="CZ26" s="28"/>
      <c r="DA26" s="28"/>
      <c r="DB26" s="28"/>
      <c r="DC26" s="28"/>
      <c r="DD26" s="28"/>
    </row>
    <row r="27" spans="76:108" x14ac:dyDescent="0.3">
      <c r="CA27" s="17"/>
      <c r="CB27" s="17"/>
      <c r="CC27" s="17"/>
      <c r="CD27" s="17"/>
      <c r="CE27" s="17"/>
      <c r="CF27" s="26"/>
      <c r="CG27" s="26"/>
      <c r="CH27" s="26"/>
      <c r="CI27" s="26"/>
      <c r="CJ27" s="26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27"/>
      <c r="CW27" s="27"/>
      <c r="CX27" s="27"/>
      <c r="CY27" s="27"/>
      <c r="CZ27" s="28"/>
      <c r="DA27" s="28"/>
      <c r="DB27" s="28"/>
      <c r="DC27" s="28"/>
      <c r="DD27" s="28"/>
    </row>
    <row r="28" spans="76:108" x14ac:dyDescent="0.3">
      <c r="CA28" s="17"/>
      <c r="CB28" s="17"/>
      <c r="CC28" s="17"/>
      <c r="CD28" s="17"/>
      <c r="CE28" s="17"/>
      <c r="CF28" s="26"/>
      <c r="CG28" s="26"/>
      <c r="CH28" s="26"/>
      <c r="CI28" s="26"/>
      <c r="CJ28" s="26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27"/>
      <c r="CW28" s="27"/>
      <c r="CX28" s="27"/>
      <c r="CY28" s="27"/>
      <c r="CZ28" s="28"/>
      <c r="DA28" s="28"/>
      <c r="DB28" s="28"/>
      <c r="DC28" s="28"/>
      <c r="DD28" s="28"/>
    </row>
    <row r="29" spans="76:108" x14ac:dyDescent="0.3">
      <c r="CA29" s="17"/>
      <c r="CB29" s="17"/>
      <c r="CC29" s="17"/>
      <c r="CD29" s="17"/>
      <c r="CE29" s="17"/>
      <c r="CF29" s="26"/>
      <c r="CG29" s="26"/>
      <c r="CH29" s="26"/>
      <c r="CI29" s="26"/>
      <c r="CJ29" s="26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27"/>
      <c r="CW29" s="27"/>
      <c r="CX29" s="27"/>
      <c r="CY29" s="27"/>
      <c r="CZ29" s="28"/>
      <c r="DA29" s="28"/>
      <c r="DB29" s="28"/>
      <c r="DC29" s="28"/>
      <c r="DD29" s="28"/>
    </row>
    <row r="30" spans="76:108" x14ac:dyDescent="0.3">
      <c r="CA30" s="17"/>
      <c r="CB30" s="17"/>
      <c r="CC30" s="17"/>
      <c r="CD30" s="17"/>
      <c r="CE30" s="17"/>
      <c r="CF30" s="26"/>
      <c r="CG30" s="26"/>
      <c r="CH30" s="26"/>
      <c r="CI30" s="26"/>
      <c r="CJ30" s="26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27"/>
      <c r="CW30" s="27"/>
      <c r="CX30" s="27"/>
      <c r="CY30" s="27"/>
      <c r="CZ30" s="28"/>
      <c r="DA30" s="28"/>
      <c r="DB30" s="28"/>
      <c r="DC30" s="28"/>
      <c r="DD30" s="28"/>
    </row>
    <row r="31" spans="76:108" x14ac:dyDescent="0.3">
      <c r="CA31" s="17"/>
      <c r="CB31" s="17"/>
      <c r="CC31" s="17"/>
      <c r="CD31" s="17"/>
      <c r="CE31" s="17"/>
      <c r="CF31" s="26"/>
      <c r="CG31" s="26"/>
      <c r="CH31" s="26"/>
      <c r="CI31" s="26"/>
      <c r="CJ31" s="26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27"/>
      <c r="CW31" s="27"/>
      <c r="CX31" s="27"/>
      <c r="CY31" s="27"/>
      <c r="CZ31" s="28"/>
      <c r="DA31" s="28"/>
      <c r="DB31" s="28"/>
      <c r="DC31" s="28"/>
      <c r="DD31" s="28"/>
    </row>
    <row r="32" spans="76:108" x14ac:dyDescent="0.3">
      <c r="CA32" s="17"/>
      <c r="CB32" s="17"/>
      <c r="CC32" s="17"/>
      <c r="CD32" s="17"/>
      <c r="CE32" s="17"/>
      <c r="CF32" s="26"/>
      <c r="CG32" s="26"/>
      <c r="CH32" s="26"/>
      <c r="CI32" s="26"/>
      <c r="CJ32" s="26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27"/>
      <c r="CW32" s="27"/>
      <c r="CX32" s="27"/>
      <c r="CY32" s="27"/>
      <c r="CZ32" s="28"/>
      <c r="DA32" s="28"/>
      <c r="DB32" s="28"/>
      <c r="DC32" s="28"/>
      <c r="DD32" s="28"/>
    </row>
    <row r="33" spans="79:108" x14ac:dyDescent="0.3">
      <c r="CA33" s="17"/>
      <c r="CB33" s="17"/>
      <c r="CC33" s="17"/>
      <c r="CD33" s="17"/>
      <c r="CE33" s="17"/>
      <c r="CF33" s="26"/>
      <c r="CG33" s="26"/>
      <c r="CH33" s="26"/>
      <c r="CI33" s="26"/>
      <c r="CJ33" s="26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27"/>
      <c r="CW33" s="27"/>
      <c r="CX33" s="27"/>
      <c r="CY33" s="27"/>
      <c r="CZ33" s="28"/>
      <c r="DA33" s="28"/>
      <c r="DB33" s="28"/>
      <c r="DC33" s="28"/>
      <c r="DD33" s="28"/>
    </row>
    <row r="34" spans="79:108" x14ac:dyDescent="0.3">
      <c r="CA34" s="17"/>
      <c r="CB34" s="17"/>
      <c r="CC34" s="17"/>
      <c r="CD34" s="17"/>
      <c r="CE34" s="17"/>
      <c r="CF34" s="26"/>
      <c r="CG34" s="26"/>
      <c r="CH34" s="26"/>
      <c r="CI34" s="26"/>
      <c r="CJ34" s="26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27"/>
      <c r="CW34" s="27"/>
      <c r="CX34" s="27"/>
      <c r="CY34" s="27"/>
      <c r="CZ34" s="28"/>
      <c r="DA34" s="28"/>
      <c r="DB34" s="28"/>
      <c r="DC34" s="28"/>
      <c r="DD34" s="28"/>
    </row>
    <row r="35" spans="79:108" x14ac:dyDescent="0.3">
      <c r="CA35" s="17"/>
      <c r="CB35" s="17"/>
      <c r="CC35" s="17"/>
      <c r="CD35" s="17"/>
      <c r="CE35" s="17"/>
      <c r="CF35" s="26"/>
      <c r="CG35" s="26"/>
      <c r="CH35" s="26"/>
      <c r="CI35" s="26"/>
      <c r="CJ35" s="26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27"/>
      <c r="CW35" s="27"/>
      <c r="CX35" s="27"/>
      <c r="CY35" s="27"/>
      <c r="CZ35" s="28"/>
      <c r="DA35" s="28"/>
      <c r="DB35" s="28"/>
      <c r="DC35" s="28"/>
      <c r="DD35" s="28"/>
    </row>
    <row r="36" spans="79:108" x14ac:dyDescent="0.3">
      <c r="CA36" s="17"/>
      <c r="CB36" s="17"/>
      <c r="CC36" s="17"/>
      <c r="CD36" s="17"/>
      <c r="CE36" s="17"/>
      <c r="CF36" s="26"/>
      <c r="CG36" s="26"/>
      <c r="CH36" s="26"/>
      <c r="CI36" s="26"/>
      <c r="CJ36" s="26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27"/>
      <c r="CW36" s="27"/>
      <c r="CX36" s="27"/>
      <c r="CY36" s="27"/>
      <c r="CZ36" s="28"/>
      <c r="DA36" s="28"/>
      <c r="DB36" s="28"/>
      <c r="DC36" s="28"/>
      <c r="DD36" s="28"/>
    </row>
    <row r="37" spans="79:108" x14ac:dyDescent="0.3">
      <c r="CA37" s="17"/>
      <c r="CB37" s="17"/>
      <c r="CC37" s="17"/>
      <c r="CD37" s="17"/>
      <c r="CE37" s="17"/>
      <c r="CF37" s="26"/>
      <c r="CG37" s="26"/>
      <c r="CH37" s="26"/>
      <c r="CI37" s="26"/>
      <c r="CJ37" s="26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27"/>
      <c r="CW37" s="27"/>
      <c r="CX37" s="27"/>
      <c r="CY37" s="27"/>
      <c r="CZ37" s="28"/>
      <c r="DA37" s="28"/>
      <c r="DB37" s="28"/>
      <c r="DC37" s="28"/>
      <c r="DD37" s="28"/>
    </row>
    <row r="38" spans="79:108" x14ac:dyDescent="0.3">
      <c r="CA38" s="17"/>
      <c r="CB38" s="17"/>
      <c r="CC38" s="17"/>
      <c r="CD38" s="17"/>
      <c r="CE38" s="17"/>
      <c r="CF38" s="26"/>
      <c r="CG38" s="26"/>
      <c r="CH38" s="26"/>
      <c r="CI38" s="26"/>
      <c r="CJ38" s="26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27"/>
      <c r="CW38" s="27"/>
      <c r="CX38" s="27"/>
      <c r="CY38" s="27"/>
      <c r="CZ38" s="28"/>
      <c r="DA38" s="28"/>
      <c r="DB38" s="28"/>
      <c r="DC38" s="28"/>
      <c r="DD38" s="28"/>
    </row>
    <row r="39" spans="79:108" x14ac:dyDescent="0.3">
      <c r="CA39" s="17"/>
      <c r="CB39" s="17"/>
      <c r="CC39" s="17"/>
      <c r="CD39" s="17"/>
      <c r="CE39" s="17"/>
      <c r="CF39" s="26"/>
      <c r="CG39" s="26"/>
      <c r="CH39" s="26"/>
      <c r="CI39" s="26"/>
      <c r="CJ39" s="26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27"/>
      <c r="CW39" s="27"/>
      <c r="CX39" s="27"/>
      <c r="CY39" s="27"/>
      <c r="CZ39" s="28"/>
      <c r="DA39" s="28"/>
      <c r="DB39" s="28"/>
      <c r="DC39" s="28"/>
      <c r="DD39" s="28"/>
    </row>
    <row r="40" spans="79:108" x14ac:dyDescent="0.3">
      <c r="CA40" s="17"/>
      <c r="CB40" s="17"/>
      <c r="CC40" s="17"/>
      <c r="CD40" s="17"/>
      <c r="CE40" s="17"/>
      <c r="CF40" s="26"/>
      <c r="CG40" s="26"/>
      <c r="CH40" s="26"/>
      <c r="CI40" s="26"/>
      <c r="CJ40" s="26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27"/>
      <c r="CW40" s="27"/>
      <c r="CX40" s="27"/>
      <c r="CY40" s="27"/>
      <c r="CZ40" s="28"/>
      <c r="DA40" s="28"/>
      <c r="DB40" s="28"/>
      <c r="DC40" s="28"/>
      <c r="DD40" s="28"/>
    </row>
    <row r="41" spans="79:108" x14ac:dyDescent="0.3">
      <c r="CA41" s="17"/>
      <c r="CB41" s="17"/>
      <c r="CC41" s="17"/>
      <c r="CD41" s="17"/>
      <c r="CE41" s="17"/>
      <c r="CF41" s="26"/>
      <c r="CG41" s="26"/>
      <c r="CH41" s="26"/>
      <c r="CI41" s="26"/>
      <c r="CJ41" s="26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27"/>
      <c r="CW41" s="27"/>
      <c r="CX41" s="27"/>
      <c r="CY41" s="27"/>
      <c r="CZ41" s="28"/>
      <c r="DA41" s="28"/>
      <c r="DB41" s="28"/>
      <c r="DC41" s="28"/>
      <c r="DD41" s="28"/>
    </row>
    <row r="42" spans="79:108" x14ac:dyDescent="0.3">
      <c r="CA42" s="17"/>
      <c r="CB42" s="17"/>
      <c r="CC42" s="17"/>
      <c r="CD42" s="17"/>
      <c r="CE42" s="17"/>
      <c r="CF42" s="26"/>
      <c r="CG42" s="26"/>
      <c r="CH42" s="26"/>
      <c r="CI42" s="26"/>
      <c r="CJ42" s="26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27"/>
      <c r="CW42" s="27"/>
      <c r="CX42" s="27"/>
      <c r="CY42" s="27"/>
      <c r="CZ42" s="28"/>
      <c r="DA42" s="28"/>
      <c r="DB42" s="28"/>
      <c r="DC42" s="28"/>
      <c r="DD42" s="28"/>
    </row>
    <row r="43" spans="79:108" x14ac:dyDescent="0.3">
      <c r="CA43" s="17"/>
      <c r="CB43" s="17"/>
      <c r="CC43" s="17"/>
      <c r="CD43" s="17"/>
      <c r="CE43" s="17"/>
      <c r="CF43" s="26"/>
      <c r="CG43" s="26"/>
      <c r="CH43" s="26"/>
      <c r="CI43" s="26"/>
      <c r="CJ43" s="26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27"/>
      <c r="CW43" s="27"/>
      <c r="CX43" s="27"/>
      <c r="CY43" s="27"/>
      <c r="CZ43" s="28"/>
      <c r="DA43" s="28"/>
      <c r="DB43" s="28"/>
      <c r="DC43" s="28"/>
      <c r="DD43" s="28"/>
    </row>
    <row r="44" spans="79:108" x14ac:dyDescent="0.3">
      <c r="CA44" s="17"/>
      <c r="CB44" s="17"/>
      <c r="CC44" s="17"/>
      <c r="CD44" s="17"/>
      <c r="CE44" s="17"/>
      <c r="CF44" s="26"/>
      <c r="CG44" s="26"/>
      <c r="CH44" s="26"/>
      <c r="CI44" s="26"/>
      <c r="CJ44" s="26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27"/>
      <c r="CW44" s="27"/>
      <c r="CX44" s="27"/>
      <c r="CY44" s="27"/>
      <c r="CZ44" s="28"/>
      <c r="DA44" s="28"/>
      <c r="DB44" s="28"/>
      <c r="DC44" s="28"/>
      <c r="DD44" s="28"/>
    </row>
    <row r="45" spans="79:108" x14ac:dyDescent="0.3">
      <c r="CA45" s="17"/>
      <c r="CB45" s="17"/>
      <c r="CC45" s="17"/>
      <c r="CD45" s="17"/>
      <c r="CE45" s="17"/>
      <c r="CF45" s="26"/>
      <c r="CG45" s="26"/>
      <c r="CH45" s="26"/>
      <c r="CI45" s="26"/>
      <c r="CJ45" s="26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27"/>
      <c r="CW45" s="27"/>
      <c r="CX45" s="27"/>
      <c r="CY45" s="27"/>
      <c r="CZ45" s="28"/>
      <c r="DA45" s="28"/>
      <c r="DB45" s="28"/>
      <c r="DC45" s="28"/>
      <c r="DD45" s="28"/>
    </row>
    <row r="46" spans="79:108" x14ac:dyDescent="0.3">
      <c r="CA46" s="17"/>
      <c r="CB46" s="17"/>
      <c r="CC46" s="17"/>
      <c r="CD46" s="17"/>
      <c r="CE46" s="17"/>
      <c r="CF46" s="26"/>
      <c r="CG46" s="26"/>
      <c r="CH46" s="26"/>
      <c r="CI46" s="26"/>
      <c r="CJ46" s="26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27"/>
      <c r="CW46" s="27"/>
      <c r="CX46" s="27"/>
      <c r="CY46" s="27"/>
      <c r="CZ46" s="28"/>
      <c r="DA46" s="28"/>
      <c r="DB46" s="28"/>
      <c r="DC46" s="28"/>
      <c r="DD46" s="28"/>
    </row>
    <row r="47" spans="79:108" x14ac:dyDescent="0.3">
      <c r="CA47" s="17"/>
      <c r="CB47" s="17"/>
      <c r="CC47" s="17"/>
      <c r="CD47" s="17"/>
      <c r="CE47" s="17"/>
      <c r="CF47" s="26"/>
      <c r="CG47" s="26"/>
      <c r="CH47" s="26"/>
      <c r="CI47" s="26"/>
      <c r="CJ47" s="26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27"/>
      <c r="CW47" s="27"/>
      <c r="CX47" s="27"/>
      <c r="CY47" s="27"/>
      <c r="CZ47" s="28"/>
      <c r="DA47" s="28"/>
      <c r="DB47" s="28"/>
      <c r="DC47" s="28"/>
      <c r="DD47" s="28"/>
    </row>
    <row r="48" spans="79:108" x14ac:dyDescent="0.3">
      <c r="CA48" s="17"/>
      <c r="CB48" s="17"/>
      <c r="CC48" s="17"/>
      <c r="CD48" s="17"/>
      <c r="CE48" s="17"/>
      <c r="CF48" s="26"/>
      <c r="CG48" s="26"/>
      <c r="CH48" s="26"/>
      <c r="CI48" s="26"/>
      <c r="CJ48" s="26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27"/>
      <c r="CW48" s="27"/>
      <c r="CX48" s="27"/>
      <c r="CY48" s="27"/>
      <c r="CZ48" s="28"/>
      <c r="DA48" s="28"/>
      <c r="DB48" s="28"/>
      <c r="DC48" s="28"/>
      <c r="DD48" s="28"/>
    </row>
    <row r="49" spans="79:108" x14ac:dyDescent="0.3">
      <c r="CA49" s="17"/>
      <c r="CB49" s="17"/>
      <c r="CC49" s="17"/>
      <c r="CD49" s="17"/>
      <c r="CE49" s="17"/>
      <c r="CF49" s="26"/>
      <c r="CG49" s="26"/>
      <c r="CH49" s="26"/>
      <c r="CI49" s="26"/>
      <c r="CJ49" s="26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27"/>
      <c r="CW49" s="27"/>
      <c r="CX49" s="27"/>
      <c r="CY49" s="27"/>
      <c r="CZ49" s="28"/>
      <c r="DA49" s="28"/>
      <c r="DB49" s="28"/>
      <c r="DC49" s="28"/>
      <c r="DD49" s="28"/>
    </row>
    <row r="50" spans="79:108" x14ac:dyDescent="0.3">
      <c r="CA50" s="17"/>
      <c r="CB50" s="17"/>
      <c r="CC50" s="17"/>
      <c r="CD50" s="17"/>
      <c r="CE50" s="17"/>
      <c r="CF50" s="26"/>
      <c r="CG50" s="26"/>
      <c r="CH50" s="26"/>
      <c r="CI50" s="26"/>
      <c r="CJ50" s="26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27"/>
      <c r="CW50" s="27"/>
      <c r="CX50" s="27"/>
      <c r="CY50" s="27"/>
      <c r="CZ50" s="28"/>
      <c r="DA50" s="28"/>
      <c r="DB50" s="28"/>
      <c r="DC50" s="28"/>
      <c r="DD50" s="28"/>
    </row>
    <row r="51" spans="79:108" x14ac:dyDescent="0.3">
      <c r="CA51" s="17"/>
      <c r="CB51" s="17"/>
      <c r="CC51" s="17"/>
      <c r="CD51" s="17"/>
      <c r="CE51" s="17"/>
      <c r="CF51" s="26"/>
      <c r="CG51" s="26"/>
      <c r="CH51" s="26"/>
      <c r="CI51" s="26"/>
      <c r="CJ51" s="26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27"/>
      <c r="CW51" s="27"/>
      <c r="CX51" s="27"/>
      <c r="CY51" s="27"/>
      <c r="CZ51" s="28"/>
      <c r="DA51" s="28"/>
      <c r="DB51" s="28"/>
      <c r="DC51" s="28"/>
      <c r="DD51" s="28"/>
    </row>
    <row r="52" spans="79:108" x14ac:dyDescent="0.3">
      <c r="CA52" s="17"/>
      <c r="CB52" s="17"/>
      <c r="CC52" s="17"/>
      <c r="CD52" s="17"/>
      <c r="CE52" s="17"/>
      <c r="CF52" s="26"/>
      <c r="CG52" s="26"/>
      <c r="CH52" s="26"/>
      <c r="CI52" s="26"/>
      <c r="CJ52" s="26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27"/>
      <c r="CW52" s="27"/>
      <c r="CX52" s="27"/>
      <c r="CY52" s="27"/>
      <c r="CZ52" s="28"/>
      <c r="DA52" s="28"/>
      <c r="DB52" s="28"/>
      <c r="DC52" s="28"/>
      <c r="DD52" s="28"/>
    </row>
    <row r="53" spans="79:108" x14ac:dyDescent="0.3">
      <c r="CA53" s="17"/>
      <c r="CB53" s="17"/>
      <c r="CC53" s="17"/>
      <c r="CD53" s="17"/>
      <c r="CE53" s="17"/>
      <c r="CF53" s="26"/>
      <c r="CG53" s="26"/>
      <c r="CH53" s="26"/>
      <c r="CI53" s="26"/>
      <c r="CJ53" s="26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27"/>
      <c r="CW53" s="27"/>
      <c r="CX53" s="27"/>
      <c r="CY53" s="27"/>
      <c r="CZ53" s="28"/>
      <c r="DA53" s="28"/>
      <c r="DB53" s="28"/>
      <c r="DC53" s="28"/>
      <c r="DD53" s="28"/>
    </row>
    <row r="54" spans="79:108" x14ac:dyDescent="0.3">
      <c r="CA54" s="17"/>
      <c r="CB54" s="17"/>
      <c r="CC54" s="17"/>
      <c r="CD54" s="17"/>
      <c r="CE54" s="17"/>
      <c r="CF54" s="26"/>
      <c r="CG54" s="26"/>
      <c r="CH54" s="26"/>
      <c r="CI54" s="26"/>
      <c r="CJ54" s="26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27"/>
      <c r="CW54" s="27"/>
      <c r="CX54" s="27"/>
      <c r="CY54" s="27"/>
      <c r="CZ54" s="28"/>
      <c r="DA54" s="28"/>
      <c r="DB54" s="28"/>
      <c r="DC54" s="28"/>
      <c r="DD54" s="28"/>
    </row>
    <row r="55" spans="79:108" x14ac:dyDescent="0.3">
      <c r="CA55" s="17"/>
      <c r="CB55" s="17"/>
      <c r="CC55" s="17"/>
      <c r="CD55" s="17"/>
      <c r="CE55" s="17"/>
      <c r="CF55" s="26"/>
      <c r="CG55" s="26"/>
      <c r="CH55" s="26"/>
      <c r="CI55" s="26"/>
      <c r="CJ55" s="26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27"/>
      <c r="CW55" s="27"/>
      <c r="CX55" s="27"/>
      <c r="CY55" s="27"/>
      <c r="CZ55" s="28"/>
      <c r="DA55" s="28"/>
      <c r="DB55" s="28"/>
      <c r="DC55" s="28"/>
      <c r="DD55" s="28"/>
    </row>
    <row r="56" spans="79:108" x14ac:dyDescent="0.3">
      <c r="CA56" s="17"/>
      <c r="CB56" s="17"/>
      <c r="CC56" s="17"/>
      <c r="CD56" s="17"/>
      <c r="CE56" s="17"/>
      <c r="CF56" s="26"/>
      <c r="CG56" s="26"/>
      <c r="CH56" s="26"/>
      <c r="CI56" s="26"/>
      <c r="CJ56" s="26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27"/>
      <c r="CW56" s="27"/>
      <c r="CX56" s="27"/>
      <c r="CY56" s="27"/>
      <c r="CZ56" s="28"/>
      <c r="DA56" s="28"/>
      <c r="DB56" s="28"/>
      <c r="DC56" s="28"/>
      <c r="DD56" s="28"/>
    </row>
    <row r="57" spans="79:108" x14ac:dyDescent="0.3">
      <c r="CA57" s="17"/>
      <c r="CB57" s="17"/>
      <c r="CC57" s="17"/>
      <c r="CD57" s="17"/>
      <c r="CE57" s="17"/>
      <c r="CF57" s="26"/>
      <c r="CG57" s="26"/>
      <c r="CH57" s="26"/>
      <c r="CI57" s="26"/>
      <c r="CJ57" s="26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27"/>
      <c r="CW57" s="27"/>
      <c r="CX57" s="27"/>
      <c r="CY57" s="27"/>
      <c r="CZ57" s="28"/>
      <c r="DA57" s="28"/>
      <c r="DB57" s="28"/>
      <c r="DC57" s="28"/>
      <c r="DD57" s="28"/>
    </row>
    <row r="58" spans="79:108" x14ac:dyDescent="0.3">
      <c r="CA58" s="17"/>
      <c r="CB58" s="17"/>
      <c r="CC58" s="17"/>
      <c r="CD58" s="17"/>
      <c r="CE58" s="17"/>
      <c r="CF58" s="26"/>
      <c r="CG58" s="26"/>
      <c r="CH58" s="26"/>
      <c r="CI58" s="26"/>
      <c r="CJ58" s="26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27"/>
      <c r="CW58" s="27"/>
      <c r="CX58" s="27"/>
      <c r="CY58" s="27"/>
      <c r="CZ58" s="28"/>
      <c r="DA58" s="28"/>
      <c r="DB58" s="28"/>
      <c r="DC58" s="28"/>
      <c r="DD58" s="28"/>
    </row>
    <row r="59" spans="79:108" x14ac:dyDescent="0.3">
      <c r="CA59" s="17"/>
      <c r="CB59" s="17"/>
      <c r="CC59" s="17"/>
      <c r="CD59" s="17"/>
      <c r="CE59" s="17"/>
      <c r="CF59" s="26"/>
      <c r="CG59" s="26"/>
      <c r="CH59" s="26"/>
      <c r="CI59" s="26"/>
      <c r="CJ59" s="26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27"/>
      <c r="CW59" s="27"/>
      <c r="CX59" s="27"/>
      <c r="CY59" s="27"/>
      <c r="CZ59" s="28"/>
      <c r="DA59" s="28"/>
      <c r="DB59" s="28"/>
      <c r="DC59" s="28"/>
      <c r="DD59" s="28"/>
    </row>
    <row r="60" spans="79:108" x14ac:dyDescent="0.3">
      <c r="CA60" s="17"/>
      <c r="CB60" s="17"/>
      <c r="CC60" s="17"/>
      <c r="CD60" s="17"/>
      <c r="CE60" s="17"/>
      <c r="CF60" s="26"/>
      <c r="CG60" s="26"/>
      <c r="CH60" s="26"/>
      <c r="CI60" s="26"/>
      <c r="CJ60" s="26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27"/>
      <c r="CW60" s="27"/>
      <c r="CX60" s="27"/>
      <c r="CY60" s="27"/>
      <c r="CZ60" s="28"/>
      <c r="DA60" s="28"/>
      <c r="DB60" s="28"/>
      <c r="DC60" s="28"/>
      <c r="DD60" s="28"/>
    </row>
    <row r="61" spans="79:108" x14ac:dyDescent="0.3">
      <c r="CA61" s="17"/>
      <c r="CB61" s="17"/>
      <c r="CC61" s="17"/>
      <c r="CD61" s="17"/>
      <c r="CE61" s="17"/>
      <c r="CF61" s="26"/>
      <c r="CG61" s="26"/>
      <c r="CH61" s="26"/>
      <c r="CI61" s="26"/>
      <c r="CJ61" s="26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27"/>
      <c r="CW61" s="27"/>
      <c r="CX61" s="27"/>
      <c r="CY61" s="27"/>
      <c r="CZ61" s="28"/>
      <c r="DA61" s="28"/>
      <c r="DB61" s="28"/>
      <c r="DC61" s="28"/>
      <c r="DD61" s="28"/>
    </row>
    <row r="62" spans="79:108" x14ac:dyDescent="0.3">
      <c r="CA62" s="17"/>
      <c r="CB62" s="17"/>
      <c r="CC62" s="17"/>
      <c r="CD62" s="17"/>
      <c r="CE62" s="17"/>
      <c r="CF62" s="26"/>
      <c r="CG62" s="26"/>
      <c r="CH62" s="26"/>
      <c r="CI62" s="26"/>
      <c r="CJ62" s="26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27"/>
      <c r="CW62" s="27"/>
      <c r="CX62" s="27"/>
      <c r="CY62" s="27"/>
      <c r="CZ62" s="28"/>
      <c r="DA62" s="28"/>
      <c r="DB62" s="28"/>
      <c r="DC62" s="28"/>
      <c r="DD62" s="28"/>
    </row>
    <row r="63" spans="79:108" x14ac:dyDescent="0.3">
      <c r="CA63" s="17"/>
      <c r="CB63" s="17"/>
      <c r="CC63" s="17"/>
      <c r="CD63" s="17"/>
      <c r="CE63" s="17"/>
      <c r="CF63" s="26"/>
      <c r="CG63" s="26"/>
      <c r="CH63" s="26"/>
      <c r="CI63" s="26"/>
      <c r="CJ63" s="26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27"/>
      <c r="CW63" s="27"/>
      <c r="CX63" s="27"/>
      <c r="CY63" s="27"/>
      <c r="CZ63" s="28"/>
      <c r="DA63" s="28"/>
      <c r="DB63" s="28"/>
      <c r="DC63" s="28"/>
      <c r="DD63" s="28"/>
    </row>
    <row r="64" spans="79:108" x14ac:dyDescent="0.3">
      <c r="CA64" s="17"/>
      <c r="CB64" s="17"/>
      <c r="CC64" s="17"/>
      <c r="CD64" s="17"/>
      <c r="CE64" s="17"/>
      <c r="CF64" s="26"/>
      <c r="CG64" s="26"/>
      <c r="CH64" s="26"/>
      <c r="CI64" s="26"/>
      <c r="CJ64" s="26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27"/>
      <c r="CW64" s="27"/>
      <c r="CX64" s="27"/>
      <c r="CY64" s="27"/>
      <c r="CZ64" s="28"/>
      <c r="DA64" s="28"/>
      <c r="DB64" s="28"/>
      <c r="DC64" s="28"/>
      <c r="DD64" s="28"/>
    </row>
    <row r="65" spans="79:108" x14ac:dyDescent="0.3">
      <c r="CA65" s="17"/>
      <c r="CB65" s="17"/>
      <c r="CC65" s="17"/>
      <c r="CD65" s="17"/>
      <c r="CE65" s="17"/>
      <c r="CF65" s="26"/>
      <c r="CG65" s="26"/>
      <c r="CH65" s="26"/>
      <c r="CI65" s="26"/>
      <c r="CJ65" s="26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27"/>
      <c r="CW65" s="27"/>
      <c r="CX65" s="27"/>
      <c r="CY65" s="27"/>
      <c r="CZ65" s="28"/>
      <c r="DA65" s="28"/>
      <c r="DB65" s="28"/>
      <c r="DC65" s="28"/>
      <c r="DD65" s="28"/>
    </row>
    <row r="66" spans="79:108" x14ac:dyDescent="0.3">
      <c r="CA66" s="17"/>
      <c r="CB66" s="17"/>
      <c r="CC66" s="17"/>
      <c r="CD66" s="17"/>
      <c r="CE66" s="17"/>
      <c r="CF66" s="26"/>
      <c r="CG66" s="26"/>
      <c r="CH66" s="26"/>
      <c r="CI66" s="26"/>
      <c r="CJ66" s="26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27"/>
      <c r="CW66" s="27"/>
      <c r="CX66" s="27"/>
      <c r="CY66" s="27"/>
      <c r="CZ66" s="28"/>
      <c r="DA66" s="28"/>
      <c r="DB66" s="28"/>
      <c r="DC66" s="28"/>
      <c r="DD66" s="28"/>
    </row>
    <row r="67" spans="79:108" x14ac:dyDescent="0.3">
      <c r="CA67" s="17"/>
      <c r="CB67" s="17"/>
      <c r="CC67" s="17"/>
      <c r="CD67" s="17"/>
      <c r="CE67" s="17"/>
      <c r="CF67" s="26"/>
      <c r="CG67" s="26"/>
      <c r="CH67" s="26"/>
      <c r="CI67" s="26"/>
      <c r="CJ67" s="26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27"/>
      <c r="CW67" s="27"/>
      <c r="CX67" s="27"/>
      <c r="CY67" s="27"/>
      <c r="CZ67" s="28"/>
      <c r="DA67" s="28"/>
      <c r="DB67" s="28"/>
      <c r="DC67" s="28"/>
      <c r="DD67" s="28"/>
    </row>
    <row r="68" spans="79:108" x14ac:dyDescent="0.3">
      <c r="CA68" s="17"/>
      <c r="CB68" s="17"/>
      <c r="CC68" s="17"/>
      <c r="CD68" s="17"/>
      <c r="CE68" s="17"/>
      <c r="CF68" s="26"/>
      <c r="CG68" s="26"/>
      <c r="CH68" s="26"/>
      <c r="CI68" s="26"/>
      <c r="CJ68" s="26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27"/>
      <c r="CW68" s="27"/>
      <c r="CX68" s="27"/>
      <c r="CY68" s="27"/>
      <c r="CZ68" s="28"/>
      <c r="DA68" s="28"/>
      <c r="DB68" s="28"/>
      <c r="DC68" s="28"/>
      <c r="DD68" s="28"/>
    </row>
    <row r="69" spans="79:108" x14ac:dyDescent="0.3">
      <c r="CA69" s="17"/>
      <c r="CB69" s="17"/>
      <c r="CC69" s="17"/>
      <c r="CD69" s="17"/>
      <c r="CE69" s="17"/>
      <c r="CF69" s="26"/>
      <c r="CG69" s="26"/>
      <c r="CH69" s="26"/>
      <c r="CI69" s="26"/>
      <c r="CJ69" s="26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27"/>
      <c r="CW69" s="27"/>
      <c r="CX69" s="27"/>
      <c r="CY69" s="27"/>
      <c r="CZ69" s="28"/>
      <c r="DA69" s="28"/>
      <c r="DB69" s="28"/>
      <c r="DC69" s="28"/>
      <c r="DD69" s="28"/>
    </row>
    <row r="70" spans="79:108" x14ac:dyDescent="0.3">
      <c r="CA70" s="17"/>
      <c r="CB70" s="17"/>
      <c r="CC70" s="17"/>
      <c r="CD70" s="17"/>
      <c r="CE70" s="17"/>
      <c r="CF70" s="26"/>
      <c r="CG70" s="26"/>
      <c r="CH70" s="26"/>
      <c r="CI70" s="26"/>
      <c r="CJ70" s="26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27"/>
      <c r="CW70" s="27"/>
      <c r="CX70" s="27"/>
      <c r="CY70" s="27"/>
      <c r="CZ70" s="28"/>
      <c r="DA70" s="28"/>
      <c r="DB70" s="28"/>
      <c r="DC70" s="28"/>
      <c r="DD70" s="28"/>
    </row>
    <row r="71" spans="79:108" x14ac:dyDescent="0.3">
      <c r="CA71" s="17"/>
      <c r="CB71" s="17"/>
      <c r="CC71" s="17"/>
      <c r="CD71" s="17"/>
      <c r="CE71" s="17"/>
      <c r="CF71" s="26"/>
      <c r="CG71" s="26"/>
      <c r="CH71" s="26"/>
      <c r="CI71" s="26"/>
      <c r="CJ71" s="26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27"/>
      <c r="CW71" s="27"/>
      <c r="CX71" s="27"/>
      <c r="CY71" s="27"/>
      <c r="CZ71" s="28"/>
      <c r="DA71" s="28"/>
      <c r="DB71" s="28"/>
      <c r="DC71" s="28"/>
      <c r="DD71" s="28"/>
    </row>
    <row r="72" spans="79:108" x14ac:dyDescent="0.3">
      <c r="CA72" s="17"/>
      <c r="CB72" s="17"/>
      <c r="CC72" s="17"/>
      <c r="CD72" s="17"/>
      <c r="CE72" s="17"/>
      <c r="CF72" s="26"/>
      <c r="CG72" s="26"/>
      <c r="CH72" s="26"/>
      <c r="CI72" s="26"/>
      <c r="CJ72" s="26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27"/>
      <c r="CW72" s="27"/>
      <c r="CX72" s="27"/>
      <c r="CY72" s="27"/>
      <c r="CZ72" s="28"/>
      <c r="DA72" s="28"/>
      <c r="DB72" s="28"/>
      <c r="DC72" s="28"/>
      <c r="DD72" s="28"/>
    </row>
    <row r="73" spans="79:108" x14ac:dyDescent="0.3">
      <c r="CA73" s="17"/>
      <c r="CB73" s="17"/>
      <c r="CC73" s="17"/>
      <c r="CD73" s="17"/>
      <c r="CE73" s="17"/>
      <c r="CF73" s="26"/>
      <c r="CG73" s="26"/>
      <c r="CH73" s="26"/>
      <c r="CI73" s="26"/>
      <c r="CJ73" s="26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27"/>
      <c r="CW73" s="27"/>
      <c r="CX73" s="27"/>
      <c r="CY73" s="27"/>
      <c r="CZ73" s="28"/>
      <c r="DA73" s="28"/>
      <c r="DB73" s="28"/>
      <c r="DC73" s="28"/>
      <c r="DD73" s="28"/>
    </row>
    <row r="74" spans="79:108" x14ac:dyDescent="0.3">
      <c r="CA74" s="17"/>
      <c r="CB74" s="17"/>
      <c r="CC74" s="17"/>
      <c r="CD74" s="17"/>
      <c r="CE74" s="17"/>
      <c r="CF74" s="26"/>
      <c r="CG74" s="26"/>
      <c r="CH74" s="26"/>
      <c r="CI74" s="26"/>
      <c r="CJ74" s="26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27"/>
      <c r="CW74" s="27"/>
      <c r="CX74" s="27"/>
      <c r="CY74" s="27"/>
      <c r="CZ74" s="28"/>
      <c r="DA74" s="28"/>
      <c r="DB74" s="28"/>
      <c r="DC74" s="28"/>
      <c r="DD74" s="28"/>
    </row>
    <row r="75" spans="79:108" x14ac:dyDescent="0.3">
      <c r="CA75" s="17"/>
      <c r="CB75" s="17"/>
      <c r="CC75" s="17"/>
      <c r="CD75" s="17"/>
      <c r="CE75" s="17"/>
      <c r="CF75" s="26"/>
      <c r="CG75" s="26"/>
      <c r="CH75" s="26"/>
      <c r="CI75" s="26"/>
      <c r="CJ75" s="26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27"/>
      <c r="CW75" s="27"/>
      <c r="CX75" s="27"/>
      <c r="CY75" s="27"/>
      <c r="CZ75" s="28"/>
      <c r="DA75" s="28"/>
      <c r="DB75" s="28"/>
      <c r="DC75" s="28"/>
      <c r="DD75" s="28"/>
    </row>
    <row r="76" spans="79:108" x14ac:dyDescent="0.3">
      <c r="CA76" s="17"/>
      <c r="CB76" s="17"/>
      <c r="CC76" s="17"/>
      <c r="CD76" s="17"/>
      <c r="CE76" s="17"/>
      <c r="CF76" s="26"/>
      <c r="CG76" s="26"/>
      <c r="CH76" s="26"/>
      <c r="CI76" s="26"/>
      <c r="CJ76" s="26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27"/>
      <c r="CW76" s="27"/>
      <c r="CX76" s="27"/>
      <c r="CY76" s="27"/>
      <c r="CZ76" s="28"/>
      <c r="DA76" s="28"/>
      <c r="DB76" s="28"/>
      <c r="DC76" s="28"/>
      <c r="DD76" s="28"/>
    </row>
    <row r="77" spans="79:108" x14ac:dyDescent="0.3">
      <c r="CA77" s="17"/>
      <c r="CB77" s="17"/>
      <c r="CC77" s="17"/>
      <c r="CD77" s="17"/>
      <c r="CE77" s="17"/>
      <c r="CF77" s="26"/>
      <c r="CG77" s="26"/>
      <c r="CH77" s="26"/>
      <c r="CI77" s="26"/>
      <c r="CJ77" s="26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27"/>
      <c r="CW77" s="27"/>
      <c r="CX77" s="27"/>
      <c r="CY77" s="27"/>
      <c r="CZ77" s="28"/>
      <c r="DA77" s="28"/>
      <c r="DB77" s="28"/>
      <c r="DC77" s="28"/>
      <c r="DD77" s="28"/>
    </row>
    <row r="78" spans="79:108" x14ac:dyDescent="0.3">
      <c r="CA78" s="17"/>
      <c r="CB78" s="17"/>
      <c r="CC78" s="17"/>
      <c r="CD78" s="17"/>
      <c r="CE78" s="17"/>
      <c r="CF78" s="26"/>
      <c r="CG78" s="26"/>
      <c r="CH78" s="26"/>
      <c r="CI78" s="26"/>
      <c r="CJ78" s="26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27"/>
      <c r="CW78" s="27"/>
      <c r="CX78" s="27"/>
      <c r="CY78" s="27"/>
      <c r="CZ78" s="28"/>
      <c r="DA78" s="28"/>
      <c r="DB78" s="28"/>
      <c r="DC78" s="28"/>
      <c r="DD78" s="28"/>
    </row>
    <row r="79" spans="79:108" x14ac:dyDescent="0.3">
      <c r="CA79" s="17"/>
      <c r="CB79" s="17"/>
      <c r="CC79" s="17"/>
      <c r="CD79" s="17"/>
      <c r="CE79" s="17"/>
      <c r="CF79" s="26"/>
      <c r="CG79" s="26"/>
      <c r="CH79" s="26"/>
      <c r="CI79" s="26"/>
      <c r="CJ79" s="26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27"/>
      <c r="CW79" s="27"/>
      <c r="CX79" s="27"/>
      <c r="CY79" s="27"/>
      <c r="CZ79" s="28"/>
      <c r="DA79" s="28"/>
      <c r="DB79" s="28"/>
      <c r="DC79" s="28"/>
      <c r="DD79" s="28"/>
    </row>
  </sheetData>
  <sheetProtection autoFilter="0"/>
  <mergeCells count="488">
    <mergeCell ref="CZ79:DD79"/>
    <mergeCell ref="CA79:CB79"/>
    <mergeCell ref="CC79:CE79"/>
    <mergeCell ref="CF79:CJ79"/>
    <mergeCell ref="CK79:CN79"/>
    <mergeCell ref="CO79:CU79"/>
    <mergeCell ref="CV79:CY79"/>
    <mergeCell ref="CZ77:DD77"/>
    <mergeCell ref="CA78:CB78"/>
    <mergeCell ref="CC78:CE78"/>
    <mergeCell ref="CF78:CJ78"/>
    <mergeCell ref="CK78:CN78"/>
    <mergeCell ref="CO78:CU78"/>
    <mergeCell ref="CV78:CY78"/>
    <mergeCell ref="CZ78:DD78"/>
    <mergeCell ref="CA77:CB77"/>
    <mergeCell ref="CC77:CE77"/>
    <mergeCell ref="CF77:CJ77"/>
    <mergeCell ref="CK77:CN77"/>
    <mergeCell ref="CO77:CU77"/>
    <mergeCell ref="CV77:CY77"/>
    <mergeCell ref="CZ75:DD75"/>
    <mergeCell ref="CA76:CB76"/>
    <mergeCell ref="CC76:CE76"/>
    <mergeCell ref="CF76:CJ76"/>
    <mergeCell ref="CK76:CN76"/>
    <mergeCell ref="CO76:CU76"/>
    <mergeCell ref="CV76:CY76"/>
    <mergeCell ref="CZ76:DD76"/>
    <mergeCell ref="CA75:CB75"/>
    <mergeCell ref="CC75:CE75"/>
    <mergeCell ref="CF75:CJ75"/>
    <mergeCell ref="CK75:CN75"/>
    <mergeCell ref="CO75:CU75"/>
    <mergeCell ref="CV75:CY75"/>
    <mergeCell ref="CZ73:DD73"/>
    <mergeCell ref="CA74:CB74"/>
    <mergeCell ref="CC74:CE74"/>
    <mergeCell ref="CF74:CJ74"/>
    <mergeCell ref="CK74:CN74"/>
    <mergeCell ref="CO74:CU74"/>
    <mergeCell ref="CV74:CY74"/>
    <mergeCell ref="CZ74:DD74"/>
    <mergeCell ref="CA73:CB73"/>
    <mergeCell ref="CC73:CE73"/>
    <mergeCell ref="CF73:CJ73"/>
    <mergeCell ref="CK73:CN73"/>
    <mergeCell ref="CO73:CU73"/>
    <mergeCell ref="CV73:CY73"/>
    <mergeCell ref="CZ71:DD71"/>
    <mergeCell ref="CA72:CB72"/>
    <mergeCell ref="CC72:CE72"/>
    <mergeCell ref="CF72:CJ72"/>
    <mergeCell ref="CK72:CN72"/>
    <mergeCell ref="CO72:CU72"/>
    <mergeCell ref="CV72:CY72"/>
    <mergeCell ref="CZ72:DD72"/>
    <mergeCell ref="CA71:CB71"/>
    <mergeCell ref="CC71:CE71"/>
    <mergeCell ref="CF71:CJ71"/>
    <mergeCell ref="CK71:CN71"/>
    <mergeCell ref="CO71:CU71"/>
    <mergeCell ref="CV71:CY71"/>
    <mergeCell ref="CZ69:DD69"/>
    <mergeCell ref="CA70:CB70"/>
    <mergeCell ref="CC70:CE70"/>
    <mergeCell ref="CF70:CJ70"/>
    <mergeCell ref="CK70:CN70"/>
    <mergeCell ref="CO70:CU70"/>
    <mergeCell ref="CV70:CY70"/>
    <mergeCell ref="CZ70:DD70"/>
    <mergeCell ref="CA69:CB69"/>
    <mergeCell ref="CC69:CE69"/>
    <mergeCell ref="CF69:CJ69"/>
    <mergeCell ref="CK69:CN69"/>
    <mergeCell ref="CO69:CU69"/>
    <mergeCell ref="CV69:CY69"/>
    <mergeCell ref="CZ67:DD67"/>
    <mergeCell ref="CA68:CB68"/>
    <mergeCell ref="CC68:CE68"/>
    <mergeCell ref="CF68:CJ68"/>
    <mergeCell ref="CK68:CN68"/>
    <mergeCell ref="CO68:CU68"/>
    <mergeCell ref="CV68:CY68"/>
    <mergeCell ref="CZ68:DD68"/>
    <mergeCell ref="CA67:CB67"/>
    <mergeCell ref="CC67:CE67"/>
    <mergeCell ref="CF67:CJ67"/>
    <mergeCell ref="CK67:CN67"/>
    <mergeCell ref="CO67:CU67"/>
    <mergeCell ref="CV67:CY67"/>
    <mergeCell ref="CZ65:DD65"/>
    <mergeCell ref="CA66:CB66"/>
    <mergeCell ref="CC66:CE66"/>
    <mergeCell ref="CF66:CJ66"/>
    <mergeCell ref="CK66:CN66"/>
    <mergeCell ref="CO66:CU66"/>
    <mergeCell ref="CV66:CY66"/>
    <mergeCell ref="CZ66:DD66"/>
    <mergeCell ref="CA65:CB65"/>
    <mergeCell ref="CC65:CE65"/>
    <mergeCell ref="CF65:CJ65"/>
    <mergeCell ref="CK65:CN65"/>
    <mergeCell ref="CO65:CU65"/>
    <mergeCell ref="CV65:CY65"/>
    <mergeCell ref="CZ63:DD63"/>
    <mergeCell ref="CA64:CB64"/>
    <mergeCell ref="CC64:CE64"/>
    <mergeCell ref="CF64:CJ64"/>
    <mergeCell ref="CK64:CN64"/>
    <mergeCell ref="CO64:CU64"/>
    <mergeCell ref="CV64:CY64"/>
    <mergeCell ref="CZ64:DD64"/>
    <mergeCell ref="CA63:CB63"/>
    <mergeCell ref="CC63:CE63"/>
    <mergeCell ref="CF63:CJ63"/>
    <mergeCell ref="CK63:CN63"/>
    <mergeCell ref="CO63:CU63"/>
    <mergeCell ref="CV63:CY63"/>
    <mergeCell ref="CZ61:DD61"/>
    <mergeCell ref="CA62:CB62"/>
    <mergeCell ref="CC62:CE62"/>
    <mergeCell ref="CF62:CJ62"/>
    <mergeCell ref="CK62:CN62"/>
    <mergeCell ref="CO62:CU62"/>
    <mergeCell ref="CV62:CY62"/>
    <mergeCell ref="CZ62:DD62"/>
    <mergeCell ref="CA61:CB61"/>
    <mergeCell ref="CC61:CE61"/>
    <mergeCell ref="CF61:CJ61"/>
    <mergeCell ref="CK61:CN61"/>
    <mergeCell ref="CO61:CU61"/>
    <mergeCell ref="CV61:CY61"/>
    <mergeCell ref="CZ59:DD59"/>
    <mergeCell ref="CA60:CB60"/>
    <mergeCell ref="CC60:CE60"/>
    <mergeCell ref="CF60:CJ60"/>
    <mergeCell ref="CK60:CN60"/>
    <mergeCell ref="CO60:CU60"/>
    <mergeCell ref="CV60:CY60"/>
    <mergeCell ref="CZ60:DD60"/>
    <mergeCell ref="CA59:CB59"/>
    <mergeCell ref="CC59:CE59"/>
    <mergeCell ref="CF59:CJ59"/>
    <mergeCell ref="CK59:CN59"/>
    <mergeCell ref="CO59:CU59"/>
    <mergeCell ref="CV59:CY59"/>
    <mergeCell ref="CZ57:DD57"/>
    <mergeCell ref="CA58:CB58"/>
    <mergeCell ref="CC58:CE58"/>
    <mergeCell ref="CF58:CJ58"/>
    <mergeCell ref="CK58:CN58"/>
    <mergeCell ref="CO58:CU58"/>
    <mergeCell ref="CV58:CY58"/>
    <mergeCell ref="CZ58:DD58"/>
    <mergeCell ref="CA57:CB57"/>
    <mergeCell ref="CC57:CE57"/>
    <mergeCell ref="CF57:CJ57"/>
    <mergeCell ref="CK57:CN57"/>
    <mergeCell ref="CO57:CU57"/>
    <mergeCell ref="CV57:CY57"/>
    <mergeCell ref="CZ55:DD55"/>
    <mergeCell ref="CA56:CB56"/>
    <mergeCell ref="CC56:CE56"/>
    <mergeCell ref="CF56:CJ56"/>
    <mergeCell ref="CK56:CN56"/>
    <mergeCell ref="CO56:CU56"/>
    <mergeCell ref="CV56:CY56"/>
    <mergeCell ref="CZ56:DD56"/>
    <mergeCell ref="CA55:CB55"/>
    <mergeCell ref="CC55:CE55"/>
    <mergeCell ref="CF55:CJ55"/>
    <mergeCell ref="CK55:CN55"/>
    <mergeCell ref="CO55:CU55"/>
    <mergeCell ref="CV55:CY55"/>
    <mergeCell ref="CZ53:DD53"/>
    <mergeCell ref="CA54:CB54"/>
    <mergeCell ref="CC54:CE54"/>
    <mergeCell ref="CF54:CJ54"/>
    <mergeCell ref="CK54:CN54"/>
    <mergeCell ref="CO54:CU54"/>
    <mergeCell ref="CV54:CY54"/>
    <mergeCell ref="CZ54:DD54"/>
    <mergeCell ref="CA53:CB53"/>
    <mergeCell ref="CC53:CE53"/>
    <mergeCell ref="CF53:CJ53"/>
    <mergeCell ref="CK53:CN53"/>
    <mergeCell ref="CO53:CU53"/>
    <mergeCell ref="CV53:CY53"/>
    <mergeCell ref="CZ51:DD51"/>
    <mergeCell ref="CA52:CB52"/>
    <mergeCell ref="CC52:CE52"/>
    <mergeCell ref="CF52:CJ52"/>
    <mergeCell ref="CK52:CN52"/>
    <mergeCell ref="CO52:CU52"/>
    <mergeCell ref="CV52:CY52"/>
    <mergeCell ref="CZ52:DD52"/>
    <mergeCell ref="CA51:CB51"/>
    <mergeCell ref="CC51:CE51"/>
    <mergeCell ref="CF51:CJ51"/>
    <mergeCell ref="CK51:CN51"/>
    <mergeCell ref="CO51:CU51"/>
    <mergeCell ref="CV51:CY51"/>
    <mergeCell ref="CZ49:DD49"/>
    <mergeCell ref="CA50:CB50"/>
    <mergeCell ref="CC50:CE50"/>
    <mergeCell ref="CF50:CJ50"/>
    <mergeCell ref="CK50:CN50"/>
    <mergeCell ref="CO50:CU50"/>
    <mergeCell ref="CV50:CY50"/>
    <mergeCell ref="CZ50:DD50"/>
    <mergeCell ref="CA49:CB49"/>
    <mergeCell ref="CC49:CE49"/>
    <mergeCell ref="CF49:CJ49"/>
    <mergeCell ref="CK49:CN49"/>
    <mergeCell ref="CO49:CU49"/>
    <mergeCell ref="CV49:CY49"/>
    <mergeCell ref="CZ47:DD47"/>
    <mergeCell ref="CA48:CB48"/>
    <mergeCell ref="CC48:CE48"/>
    <mergeCell ref="CF48:CJ48"/>
    <mergeCell ref="CK48:CN48"/>
    <mergeCell ref="CO48:CU48"/>
    <mergeCell ref="CV48:CY48"/>
    <mergeCell ref="CZ48:DD48"/>
    <mergeCell ref="CA47:CB47"/>
    <mergeCell ref="CC47:CE47"/>
    <mergeCell ref="CF47:CJ47"/>
    <mergeCell ref="CK47:CN47"/>
    <mergeCell ref="CO47:CU47"/>
    <mergeCell ref="CV47:CY47"/>
    <mergeCell ref="CZ45:DD45"/>
    <mergeCell ref="CA46:CB46"/>
    <mergeCell ref="CC46:CE46"/>
    <mergeCell ref="CF46:CJ46"/>
    <mergeCell ref="CK46:CN46"/>
    <mergeCell ref="CO46:CU46"/>
    <mergeCell ref="CV46:CY46"/>
    <mergeCell ref="CZ46:DD46"/>
    <mergeCell ref="CA45:CB45"/>
    <mergeCell ref="CC45:CE45"/>
    <mergeCell ref="CF45:CJ45"/>
    <mergeCell ref="CK45:CN45"/>
    <mergeCell ref="CO45:CU45"/>
    <mergeCell ref="CV45:CY45"/>
    <mergeCell ref="CZ43:DD43"/>
    <mergeCell ref="CA44:CB44"/>
    <mergeCell ref="CC44:CE44"/>
    <mergeCell ref="CF44:CJ44"/>
    <mergeCell ref="CK44:CN44"/>
    <mergeCell ref="CO44:CU44"/>
    <mergeCell ref="CV44:CY44"/>
    <mergeCell ref="CZ44:DD44"/>
    <mergeCell ref="CA43:CB43"/>
    <mergeCell ref="CC43:CE43"/>
    <mergeCell ref="CF43:CJ43"/>
    <mergeCell ref="CK43:CN43"/>
    <mergeCell ref="CO43:CU43"/>
    <mergeCell ref="CV43:CY43"/>
    <mergeCell ref="CZ41:DD41"/>
    <mergeCell ref="CA42:CB42"/>
    <mergeCell ref="CC42:CE42"/>
    <mergeCell ref="CF42:CJ42"/>
    <mergeCell ref="CK42:CN42"/>
    <mergeCell ref="CO42:CU42"/>
    <mergeCell ref="CV42:CY42"/>
    <mergeCell ref="CZ42:DD42"/>
    <mergeCell ref="CA41:CB41"/>
    <mergeCell ref="CC41:CE41"/>
    <mergeCell ref="CF41:CJ41"/>
    <mergeCell ref="CK41:CN41"/>
    <mergeCell ref="CO41:CU41"/>
    <mergeCell ref="CV41:CY41"/>
    <mergeCell ref="CZ39:DD39"/>
    <mergeCell ref="CA40:CB40"/>
    <mergeCell ref="CC40:CE40"/>
    <mergeCell ref="CF40:CJ40"/>
    <mergeCell ref="CK40:CN40"/>
    <mergeCell ref="CO40:CU40"/>
    <mergeCell ref="CV40:CY40"/>
    <mergeCell ref="CZ40:DD40"/>
    <mergeCell ref="CA39:CB39"/>
    <mergeCell ref="CC39:CE39"/>
    <mergeCell ref="CF39:CJ39"/>
    <mergeCell ref="CK39:CN39"/>
    <mergeCell ref="CO39:CU39"/>
    <mergeCell ref="CV39:CY39"/>
    <mergeCell ref="CZ37:DD37"/>
    <mergeCell ref="CA38:CB38"/>
    <mergeCell ref="CC38:CE38"/>
    <mergeCell ref="CF38:CJ38"/>
    <mergeCell ref="CK38:CN38"/>
    <mergeCell ref="CO38:CU38"/>
    <mergeCell ref="CV38:CY38"/>
    <mergeCell ref="CZ38:DD38"/>
    <mergeCell ref="CA37:CB37"/>
    <mergeCell ref="CC37:CE37"/>
    <mergeCell ref="CF37:CJ37"/>
    <mergeCell ref="CK37:CN37"/>
    <mergeCell ref="CO37:CU37"/>
    <mergeCell ref="CV37:CY37"/>
    <mergeCell ref="CZ35:DD35"/>
    <mergeCell ref="CA36:CB36"/>
    <mergeCell ref="CC36:CE36"/>
    <mergeCell ref="CF36:CJ36"/>
    <mergeCell ref="CK36:CN36"/>
    <mergeCell ref="CO36:CU36"/>
    <mergeCell ref="CV36:CY36"/>
    <mergeCell ref="CZ36:DD36"/>
    <mergeCell ref="CA35:CB35"/>
    <mergeCell ref="CC35:CE35"/>
    <mergeCell ref="CF35:CJ35"/>
    <mergeCell ref="CK35:CN35"/>
    <mergeCell ref="CO35:CU35"/>
    <mergeCell ref="CV35:CY35"/>
    <mergeCell ref="CZ33:DD33"/>
    <mergeCell ref="CA34:CB34"/>
    <mergeCell ref="CC34:CE34"/>
    <mergeCell ref="CF34:CJ34"/>
    <mergeCell ref="CK34:CN34"/>
    <mergeCell ref="CO34:CU34"/>
    <mergeCell ref="CV34:CY34"/>
    <mergeCell ref="CZ34:DD34"/>
    <mergeCell ref="CA33:CB33"/>
    <mergeCell ref="CC33:CE33"/>
    <mergeCell ref="CF33:CJ33"/>
    <mergeCell ref="CK33:CN33"/>
    <mergeCell ref="CO33:CU33"/>
    <mergeCell ref="CV33:CY33"/>
    <mergeCell ref="CZ31:DD31"/>
    <mergeCell ref="CA32:CB32"/>
    <mergeCell ref="CC32:CE32"/>
    <mergeCell ref="CF32:CJ32"/>
    <mergeCell ref="CK32:CN32"/>
    <mergeCell ref="CO32:CU32"/>
    <mergeCell ref="CV32:CY32"/>
    <mergeCell ref="CZ32:DD32"/>
    <mergeCell ref="CA31:CB31"/>
    <mergeCell ref="CC31:CE31"/>
    <mergeCell ref="CF31:CJ31"/>
    <mergeCell ref="CK31:CN31"/>
    <mergeCell ref="CO31:CU31"/>
    <mergeCell ref="CV31:CY31"/>
    <mergeCell ref="CZ29:DD29"/>
    <mergeCell ref="CA30:CB30"/>
    <mergeCell ref="CC30:CE30"/>
    <mergeCell ref="CF30:CJ30"/>
    <mergeCell ref="CK30:CN30"/>
    <mergeCell ref="CO30:CU30"/>
    <mergeCell ref="CV30:CY30"/>
    <mergeCell ref="CZ30:DD30"/>
    <mergeCell ref="CA29:CB29"/>
    <mergeCell ref="CC29:CE29"/>
    <mergeCell ref="CF29:CJ29"/>
    <mergeCell ref="CK29:CN29"/>
    <mergeCell ref="CO29:CU29"/>
    <mergeCell ref="CV29:CY29"/>
    <mergeCell ref="CZ27:DD27"/>
    <mergeCell ref="CA28:CB28"/>
    <mergeCell ref="CC28:CE28"/>
    <mergeCell ref="CF28:CJ28"/>
    <mergeCell ref="CK28:CN28"/>
    <mergeCell ref="CO28:CU28"/>
    <mergeCell ref="CV28:CY28"/>
    <mergeCell ref="CZ28:DD28"/>
    <mergeCell ref="CA27:CB27"/>
    <mergeCell ref="CC27:CE27"/>
    <mergeCell ref="CF27:CJ27"/>
    <mergeCell ref="CK27:CN27"/>
    <mergeCell ref="CO27:CU27"/>
    <mergeCell ref="CV27:CY27"/>
    <mergeCell ref="CZ25:DD25"/>
    <mergeCell ref="CA26:CB26"/>
    <mergeCell ref="CC26:CE26"/>
    <mergeCell ref="CF26:CJ26"/>
    <mergeCell ref="CK26:CN26"/>
    <mergeCell ref="CO26:CU26"/>
    <mergeCell ref="CV26:CY26"/>
    <mergeCell ref="CZ26:DD26"/>
    <mergeCell ref="CA25:CB25"/>
    <mergeCell ref="CC25:CE25"/>
    <mergeCell ref="CF25:CJ25"/>
    <mergeCell ref="CK25:CN25"/>
    <mergeCell ref="CO25:CU25"/>
    <mergeCell ref="CV25:CY25"/>
    <mergeCell ref="CZ23:DD23"/>
    <mergeCell ref="CA24:CB24"/>
    <mergeCell ref="CC24:CE24"/>
    <mergeCell ref="CF24:CJ24"/>
    <mergeCell ref="CK24:CN24"/>
    <mergeCell ref="CO24:CU24"/>
    <mergeCell ref="CV24:CY24"/>
    <mergeCell ref="CZ24:DD24"/>
    <mergeCell ref="CA23:CB23"/>
    <mergeCell ref="CC23:CE23"/>
    <mergeCell ref="CF23:CJ23"/>
    <mergeCell ref="CK23:CN23"/>
    <mergeCell ref="CO23:CU23"/>
    <mergeCell ref="CV23:CY23"/>
    <mergeCell ref="CZ21:DD21"/>
    <mergeCell ref="CA22:CB22"/>
    <mergeCell ref="CC22:CE22"/>
    <mergeCell ref="CF22:CJ22"/>
    <mergeCell ref="CK22:CN22"/>
    <mergeCell ref="CO22:CU22"/>
    <mergeCell ref="CV22:CY22"/>
    <mergeCell ref="CZ22:DD22"/>
    <mergeCell ref="CZ19:DD19"/>
    <mergeCell ref="CA20:CU20"/>
    <mergeCell ref="CV20:CY20"/>
    <mergeCell ref="CZ20:DD20"/>
    <mergeCell ref="CA21:CB21"/>
    <mergeCell ref="CC21:CE21"/>
    <mergeCell ref="CF21:CJ21"/>
    <mergeCell ref="CK21:CN21"/>
    <mergeCell ref="CO21:CU21"/>
    <mergeCell ref="CV21:CY21"/>
    <mergeCell ref="CA19:CB19"/>
    <mergeCell ref="CC19:CE19"/>
    <mergeCell ref="CF19:CJ19"/>
    <mergeCell ref="CK19:CN19"/>
    <mergeCell ref="CO19:CU19"/>
    <mergeCell ref="CV19:CY19"/>
    <mergeCell ref="CZ17:DD17"/>
    <mergeCell ref="CA18:CB18"/>
    <mergeCell ref="CC18:CE18"/>
    <mergeCell ref="CF18:CJ18"/>
    <mergeCell ref="CK18:CN18"/>
    <mergeCell ref="CO18:CU18"/>
    <mergeCell ref="CV18:CY18"/>
    <mergeCell ref="CZ18:DD18"/>
    <mergeCell ref="CA17:CB17"/>
    <mergeCell ref="CC17:CE17"/>
    <mergeCell ref="CF17:CJ17"/>
    <mergeCell ref="CK17:CN17"/>
    <mergeCell ref="CO17:CU17"/>
    <mergeCell ref="CV17:CY17"/>
    <mergeCell ref="CZ15:DD15"/>
    <mergeCell ref="CA16:CB16"/>
    <mergeCell ref="CC16:CE16"/>
    <mergeCell ref="CF16:CJ16"/>
    <mergeCell ref="CK16:CN16"/>
    <mergeCell ref="CO16:CU16"/>
    <mergeCell ref="CV16:CY16"/>
    <mergeCell ref="CZ16:DD16"/>
    <mergeCell ref="CA15:CB15"/>
    <mergeCell ref="CC15:CE15"/>
    <mergeCell ref="CF15:CJ15"/>
    <mergeCell ref="CK15:CN15"/>
    <mergeCell ref="CO15:CU15"/>
    <mergeCell ref="CV15:CY15"/>
    <mergeCell ref="CZ13:DD13"/>
    <mergeCell ref="CA14:CB14"/>
    <mergeCell ref="CC14:CE14"/>
    <mergeCell ref="CF14:CJ14"/>
    <mergeCell ref="CK14:CN14"/>
    <mergeCell ref="CO14:CU14"/>
    <mergeCell ref="CV14:CY14"/>
    <mergeCell ref="CZ14:DD14"/>
    <mergeCell ref="CA13:CB13"/>
    <mergeCell ref="CC13:CE13"/>
    <mergeCell ref="CF13:CJ13"/>
    <mergeCell ref="CK13:CN13"/>
    <mergeCell ref="CO13:CU13"/>
    <mergeCell ref="CV13:CY13"/>
    <mergeCell ref="CZ11:DD11"/>
    <mergeCell ref="CA12:CB12"/>
    <mergeCell ref="CC12:CE12"/>
    <mergeCell ref="CF12:CJ12"/>
    <mergeCell ref="CK12:CN12"/>
    <mergeCell ref="CO12:CU12"/>
    <mergeCell ref="CV12:CY12"/>
    <mergeCell ref="CZ12:DD12"/>
    <mergeCell ref="CA11:CB11"/>
    <mergeCell ref="CC11:CE11"/>
    <mergeCell ref="CF11:CJ11"/>
    <mergeCell ref="CK11:CN11"/>
    <mergeCell ref="CO11:CU11"/>
    <mergeCell ref="CV11:CY11"/>
    <mergeCell ref="CW6:CY6"/>
    <mergeCell ref="DA6:DD6"/>
    <mergeCell ref="CA7:DD7"/>
    <mergeCell ref="CA9:CD9"/>
    <mergeCell ref="CF9:DD9"/>
    <mergeCell ref="CA1:DD1"/>
    <mergeCell ref="CA2:DD2"/>
    <mergeCell ref="CA3:DD3"/>
    <mergeCell ref="CA4:DD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B845A-1896-4401-A92E-D0448DBFB7A6}">
  <dimension ref="A1:EA95"/>
  <sheetViews>
    <sheetView tabSelected="1" topLeftCell="CA1" workbookViewId="0">
      <selection activeCell="DF1" sqref="DF1:DM1048576"/>
    </sheetView>
  </sheetViews>
  <sheetFormatPr defaultColWidth="2.88671875" defaultRowHeight="14.4" x14ac:dyDescent="0.3"/>
  <cols>
    <col min="1" max="1" width="5.44140625" hidden="1" customWidth="1"/>
    <col min="2" max="73" width="2.88671875" hidden="1" customWidth="1"/>
    <col min="74" max="74" width="10.33203125" hidden="1" customWidth="1"/>
    <col min="75" max="75" width="16.33203125" hidden="1" customWidth="1"/>
    <col min="76" max="76" width="19.6640625" hidden="1" customWidth="1"/>
    <col min="77" max="77" width="17.44140625" hidden="1" customWidth="1"/>
    <col min="78" max="78" width="2.88671875" hidden="1" customWidth="1"/>
    <col min="80" max="80" width="2.88671875" customWidth="1"/>
  </cols>
  <sheetData>
    <row r="1" spans="76:131" x14ac:dyDescent="0.3">
      <c r="CA1" s="1" t="s">
        <v>0</v>
      </c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</row>
    <row r="2" spans="76:131" ht="15" customHeight="1" x14ac:dyDescent="0.3">
      <c r="CA2" s="1" t="s">
        <v>20</v>
      </c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</row>
    <row r="3" spans="76:131" ht="15" customHeight="1" x14ac:dyDescent="0.3">
      <c r="CA3" s="1" t="s">
        <v>21</v>
      </c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</row>
    <row r="4" spans="76:131" ht="15" customHeight="1" x14ac:dyDescent="0.3">
      <c r="CA4" s="1" t="s">
        <v>22</v>
      </c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</row>
    <row r="5" spans="76:131" ht="15.75" customHeight="1" x14ac:dyDescent="0.3"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</row>
    <row r="6" spans="76:131" ht="15" customHeight="1" x14ac:dyDescent="0.3">
      <c r="CW6" s="1" t="s">
        <v>2</v>
      </c>
      <c r="CX6" s="1"/>
      <c r="CY6" s="1"/>
      <c r="CZ6" t="s">
        <v>3</v>
      </c>
      <c r="DA6" s="1" t="s">
        <v>23</v>
      </c>
      <c r="DB6" s="1"/>
      <c r="DC6" s="1"/>
      <c r="DD6" s="1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</row>
    <row r="7" spans="76:131" ht="15" customHeight="1" x14ac:dyDescent="0.3">
      <c r="CA7" s="2" t="s">
        <v>16</v>
      </c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</row>
    <row r="9" spans="76:131" s="29" customFormat="1" ht="31.5" customHeight="1" x14ac:dyDescent="0.3">
      <c r="CA9" s="30" t="s">
        <v>5</v>
      </c>
      <c r="CB9" s="30"/>
      <c r="CC9" s="30"/>
      <c r="CD9" s="30"/>
      <c r="CE9" s="29" t="s">
        <v>3</v>
      </c>
      <c r="CF9" s="31" t="s">
        <v>88</v>
      </c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</row>
    <row r="11" spans="76:131" s="18" customFormat="1" ht="15" customHeight="1" x14ac:dyDescent="0.3">
      <c r="CA11" s="19" t="s">
        <v>1</v>
      </c>
      <c r="CB11" s="19"/>
      <c r="CC11" s="19" t="s">
        <v>6</v>
      </c>
      <c r="CD11" s="19"/>
      <c r="CE11" s="19"/>
      <c r="CF11" s="19" t="s">
        <v>7</v>
      </c>
      <c r="CG11" s="19"/>
      <c r="CH11" s="19"/>
      <c r="CI11" s="19"/>
      <c r="CJ11" s="19"/>
      <c r="CK11" s="19" t="s">
        <v>8</v>
      </c>
      <c r="CL11" s="19"/>
      <c r="CM11" s="19"/>
      <c r="CN11" s="19"/>
      <c r="CO11" s="19" t="s">
        <v>9</v>
      </c>
      <c r="CP11" s="19"/>
      <c r="CQ11" s="19"/>
      <c r="CR11" s="19"/>
      <c r="CS11" s="19"/>
      <c r="CT11" s="19"/>
      <c r="CU11" s="19"/>
      <c r="CV11" s="19" t="s">
        <v>10</v>
      </c>
      <c r="CW11" s="19"/>
      <c r="CX11" s="19"/>
      <c r="CY11" s="19"/>
      <c r="CZ11" s="19" t="s">
        <v>11</v>
      </c>
      <c r="DA11" s="19"/>
      <c r="DB11" s="19"/>
      <c r="DC11" s="19"/>
      <c r="DD11" s="19"/>
    </row>
    <row r="12" spans="76:131" s="18" customFormat="1" ht="15" customHeight="1" x14ac:dyDescent="0.3">
      <c r="BX12" s="18" t="e">
        <f>COUNTIF($BY$12:BY12,BY12)&amp;BY12</f>
        <v>#REF!</v>
      </c>
      <c r="BY12" s="18" t="e">
        <f>#REF!&amp;#REF!</f>
        <v>#REF!</v>
      </c>
      <c r="CA12" s="20">
        <v>2026</v>
      </c>
      <c r="CB12" s="20"/>
      <c r="CC12" s="20" t="s">
        <v>15</v>
      </c>
      <c r="CD12" s="20"/>
      <c r="CE12" s="20"/>
      <c r="CF12" s="21">
        <v>100104141619</v>
      </c>
      <c r="CG12" s="21"/>
      <c r="CH12" s="21"/>
      <c r="CI12" s="21"/>
      <c r="CJ12" s="21"/>
      <c r="CK12" s="20" t="s">
        <v>85</v>
      </c>
      <c r="CL12" s="20"/>
      <c r="CM12" s="20"/>
      <c r="CN12" s="20"/>
      <c r="CO12" s="22" t="s">
        <v>86</v>
      </c>
      <c r="CP12" s="22"/>
      <c r="CQ12" s="22"/>
      <c r="CR12" s="22"/>
      <c r="CS12" s="22"/>
      <c r="CT12" s="22"/>
      <c r="CU12" s="22"/>
      <c r="CV12" s="23">
        <v>1840.08</v>
      </c>
      <c r="CW12" s="23"/>
      <c r="CX12" s="23"/>
      <c r="CY12" s="23"/>
      <c r="CZ12" s="24">
        <v>11632.96</v>
      </c>
      <c r="DA12" s="24"/>
      <c r="DB12" s="24"/>
      <c r="DC12" s="24"/>
      <c r="DD12" s="24"/>
    </row>
    <row r="13" spans="76:131" s="18" customFormat="1" ht="15" customHeight="1" x14ac:dyDescent="0.3">
      <c r="BX13" s="18" t="e">
        <f>COUNTIF($BY$12:BY13,BY13)&amp;BY13</f>
        <v>#REF!</v>
      </c>
      <c r="BY13" s="18" t="e">
        <f>#REF!&amp;#REF!</f>
        <v>#REF!</v>
      </c>
      <c r="CA13" s="20">
        <v>2026</v>
      </c>
      <c r="CB13" s="20"/>
      <c r="CC13" s="20" t="s">
        <v>15</v>
      </c>
      <c r="CD13" s="20"/>
      <c r="CE13" s="20"/>
      <c r="CF13" s="21">
        <v>100104141620</v>
      </c>
      <c r="CG13" s="21"/>
      <c r="CH13" s="21"/>
      <c r="CI13" s="21"/>
      <c r="CJ13" s="21"/>
      <c r="CK13" s="20" t="s">
        <v>85</v>
      </c>
      <c r="CL13" s="20"/>
      <c r="CM13" s="20"/>
      <c r="CN13" s="20"/>
      <c r="CO13" s="22" t="s">
        <v>87</v>
      </c>
      <c r="CP13" s="22"/>
      <c r="CQ13" s="22"/>
      <c r="CR13" s="22"/>
      <c r="CS13" s="22"/>
      <c r="CT13" s="22"/>
      <c r="CU13" s="22"/>
      <c r="CV13" s="23">
        <v>3470.56</v>
      </c>
      <c r="CW13" s="23"/>
      <c r="CX13" s="23"/>
      <c r="CY13" s="23"/>
      <c r="CZ13" s="24">
        <v>21688.19</v>
      </c>
      <c r="DA13" s="24"/>
      <c r="DB13" s="24"/>
      <c r="DC13" s="24"/>
      <c r="DD13" s="24"/>
    </row>
    <row r="14" spans="76:131" s="18" customFormat="1" ht="15" customHeight="1" x14ac:dyDescent="0.3">
      <c r="BX14" s="18" t="e">
        <f>COUNTIF($BY$12:BY14,BY14)&amp;BY14</f>
        <v>#REF!</v>
      </c>
      <c r="BY14" s="18" t="e">
        <f>#REF!&amp;#REF!</f>
        <v>#REF!</v>
      </c>
      <c r="CA14" s="20" t="s">
        <v>78</v>
      </c>
      <c r="CB14" s="20"/>
      <c r="CC14" s="20" t="s">
        <v>78</v>
      </c>
      <c r="CD14" s="20"/>
      <c r="CE14" s="20"/>
      <c r="CF14" s="21" t="s">
        <v>78</v>
      </c>
      <c r="CG14" s="21"/>
      <c r="CH14" s="21"/>
      <c r="CI14" s="21"/>
      <c r="CJ14" s="21"/>
      <c r="CK14" s="20" t="s">
        <v>78</v>
      </c>
      <c r="CL14" s="20"/>
      <c r="CM14" s="20"/>
      <c r="CN14" s="20"/>
      <c r="CO14" s="22" t="s">
        <v>78</v>
      </c>
      <c r="CP14" s="22"/>
      <c r="CQ14" s="22"/>
      <c r="CR14" s="22"/>
      <c r="CS14" s="22"/>
      <c r="CT14" s="22"/>
      <c r="CU14" s="22"/>
      <c r="CV14" s="23" t="s">
        <v>78</v>
      </c>
      <c r="CW14" s="23"/>
      <c r="CX14" s="23"/>
      <c r="CY14" s="23"/>
      <c r="CZ14" s="24" t="s">
        <v>78</v>
      </c>
      <c r="DA14" s="24"/>
      <c r="DB14" s="24"/>
      <c r="DC14" s="24"/>
      <c r="DD14" s="24"/>
    </row>
    <row r="15" spans="76:131" s="18" customFormat="1" ht="15" customHeight="1" x14ac:dyDescent="0.3">
      <c r="BX15" s="18" t="e">
        <f>COUNTIF($BY$12:BY15,BY15)&amp;BY15</f>
        <v>#REF!</v>
      </c>
      <c r="BY15" s="18" t="e">
        <f>#REF!&amp;#REF!</f>
        <v>#REF!</v>
      </c>
      <c r="CA15" s="20" t="s">
        <v>78</v>
      </c>
      <c r="CB15" s="20"/>
      <c r="CC15" s="20" t="s">
        <v>78</v>
      </c>
      <c r="CD15" s="20"/>
      <c r="CE15" s="20"/>
      <c r="CF15" s="21" t="s">
        <v>78</v>
      </c>
      <c r="CG15" s="21"/>
      <c r="CH15" s="21"/>
      <c r="CI15" s="21"/>
      <c r="CJ15" s="21"/>
      <c r="CK15" s="20" t="s">
        <v>78</v>
      </c>
      <c r="CL15" s="20"/>
      <c r="CM15" s="20"/>
      <c r="CN15" s="20"/>
      <c r="CO15" s="22" t="s">
        <v>78</v>
      </c>
      <c r="CP15" s="22"/>
      <c r="CQ15" s="22"/>
      <c r="CR15" s="22"/>
      <c r="CS15" s="22"/>
      <c r="CT15" s="22"/>
      <c r="CU15" s="22"/>
      <c r="CV15" s="23" t="s">
        <v>78</v>
      </c>
      <c r="CW15" s="23"/>
      <c r="CX15" s="23"/>
      <c r="CY15" s="23"/>
      <c r="CZ15" s="24" t="s">
        <v>78</v>
      </c>
      <c r="DA15" s="24"/>
      <c r="DB15" s="24"/>
      <c r="DC15" s="24"/>
      <c r="DD15" s="24"/>
    </row>
    <row r="16" spans="76:131" s="18" customFormat="1" ht="15" customHeight="1" x14ac:dyDescent="0.3">
      <c r="BX16" s="18" t="e">
        <f>COUNTIF($BY$12:BY16,BY16)&amp;BY16</f>
        <v>#REF!</v>
      </c>
      <c r="BY16" s="18" t="e">
        <f>#REF!&amp;#REF!</f>
        <v>#REF!</v>
      </c>
      <c r="CA16" s="20" t="s">
        <v>78</v>
      </c>
      <c r="CB16" s="20"/>
      <c r="CC16" s="20" t="s">
        <v>78</v>
      </c>
      <c r="CD16" s="20"/>
      <c r="CE16" s="20"/>
      <c r="CF16" s="21" t="s">
        <v>78</v>
      </c>
      <c r="CG16" s="21"/>
      <c r="CH16" s="21"/>
      <c r="CI16" s="21"/>
      <c r="CJ16" s="21"/>
      <c r="CK16" s="20" t="s">
        <v>78</v>
      </c>
      <c r="CL16" s="20"/>
      <c r="CM16" s="20"/>
      <c r="CN16" s="20"/>
      <c r="CO16" s="22" t="s">
        <v>78</v>
      </c>
      <c r="CP16" s="22"/>
      <c r="CQ16" s="22"/>
      <c r="CR16" s="22"/>
      <c r="CS16" s="22"/>
      <c r="CT16" s="22"/>
      <c r="CU16" s="22"/>
      <c r="CV16" s="23" t="s">
        <v>78</v>
      </c>
      <c r="CW16" s="23"/>
      <c r="CX16" s="23"/>
      <c r="CY16" s="23"/>
      <c r="CZ16" s="24" t="s">
        <v>78</v>
      </c>
      <c r="DA16" s="24"/>
      <c r="DB16" s="24"/>
      <c r="DC16" s="24"/>
      <c r="DD16" s="24"/>
    </row>
    <row r="17" spans="76:108" s="18" customFormat="1" ht="15" customHeight="1" x14ac:dyDescent="0.3">
      <c r="BX17" s="18" t="e">
        <f>COUNTIF($BY$12:BY17,BY17)&amp;BY17</f>
        <v>#REF!</v>
      </c>
      <c r="BY17" s="18" t="e">
        <f>#REF!&amp;#REF!</f>
        <v>#REF!</v>
      </c>
      <c r="CA17" s="20" t="s">
        <v>78</v>
      </c>
      <c r="CB17" s="20"/>
      <c r="CC17" s="20" t="s">
        <v>78</v>
      </c>
      <c r="CD17" s="20"/>
      <c r="CE17" s="20"/>
      <c r="CF17" s="21" t="s">
        <v>78</v>
      </c>
      <c r="CG17" s="21"/>
      <c r="CH17" s="21"/>
      <c r="CI17" s="21"/>
      <c r="CJ17" s="21"/>
      <c r="CK17" s="20" t="s">
        <v>78</v>
      </c>
      <c r="CL17" s="20"/>
      <c r="CM17" s="20"/>
      <c r="CN17" s="20"/>
      <c r="CO17" s="22" t="s">
        <v>78</v>
      </c>
      <c r="CP17" s="22"/>
      <c r="CQ17" s="22"/>
      <c r="CR17" s="22"/>
      <c r="CS17" s="22"/>
      <c r="CT17" s="22"/>
      <c r="CU17" s="22"/>
      <c r="CV17" s="23" t="s">
        <v>78</v>
      </c>
      <c r="CW17" s="23"/>
      <c r="CX17" s="23"/>
      <c r="CY17" s="23"/>
      <c r="CZ17" s="24" t="s">
        <v>78</v>
      </c>
      <c r="DA17" s="24"/>
      <c r="DB17" s="24"/>
      <c r="DC17" s="24"/>
      <c r="DD17" s="24"/>
    </row>
    <row r="18" spans="76:108" s="18" customFormat="1" ht="15" customHeight="1" x14ac:dyDescent="0.3">
      <c r="BX18" s="18" t="e">
        <f>COUNTIF($BY$12:BY18,BY18)&amp;BY18</f>
        <v>#REF!</v>
      </c>
      <c r="BY18" s="18" t="e">
        <f>#REF!&amp;#REF!</f>
        <v>#REF!</v>
      </c>
      <c r="CA18" s="20" t="s">
        <v>78</v>
      </c>
      <c r="CB18" s="20"/>
      <c r="CC18" s="20" t="s">
        <v>78</v>
      </c>
      <c r="CD18" s="20"/>
      <c r="CE18" s="20"/>
      <c r="CF18" s="21" t="s">
        <v>78</v>
      </c>
      <c r="CG18" s="21"/>
      <c r="CH18" s="21"/>
      <c r="CI18" s="21"/>
      <c r="CJ18" s="21"/>
      <c r="CK18" s="20" t="s">
        <v>78</v>
      </c>
      <c r="CL18" s="20"/>
      <c r="CM18" s="20"/>
      <c r="CN18" s="20"/>
      <c r="CO18" s="22" t="s">
        <v>78</v>
      </c>
      <c r="CP18" s="22"/>
      <c r="CQ18" s="22"/>
      <c r="CR18" s="22"/>
      <c r="CS18" s="22"/>
      <c r="CT18" s="22"/>
      <c r="CU18" s="22"/>
      <c r="CV18" s="23" t="s">
        <v>78</v>
      </c>
      <c r="CW18" s="23"/>
      <c r="CX18" s="23"/>
      <c r="CY18" s="23"/>
      <c r="CZ18" s="24" t="s">
        <v>78</v>
      </c>
      <c r="DA18" s="24"/>
      <c r="DB18" s="24"/>
      <c r="DC18" s="24"/>
      <c r="DD18" s="24"/>
    </row>
    <row r="19" spans="76:108" s="18" customFormat="1" ht="15" customHeight="1" x14ac:dyDescent="0.3">
      <c r="BX19" s="18" t="e">
        <f>COUNTIF($BY$12:BY19,BY19)&amp;BY19</f>
        <v>#REF!</v>
      </c>
      <c r="BY19" s="18" t="e">
        <f>#REF!&amp;#REF!</f>
        <v>#REF!</v>
      </c>
      <c r="CA19" s="20" t="s">
        <v>78</v>
      </c>
      <c r="CB19" s="20"/>
      <c r="CC19" s="20" t="s">
        <v>78</v>
      </c>
      <c r="CD19" s="20"/>
      <c r="CE19" s="20"/>
      <c r="CF19" s="21" t="s">
        <v>78</v>
      </c>
      <c r="CG19" s="21"/>
      <c r="CH19" s="21"/>
      <c r="CI19" s="21"/>
      <c r="CJ19" s="21"/>
      <c r="CK19" s="20" t="s">
        <v>78</v>
      </c>
      <c r="CL19" s="20"/>
      <c r="CM19" s="20"/>
      <c r="CN19" s="20"/>
      <c r="CO19" s="22" t="s">
        <v>78</v>
      </c>
      <c r="CP19" s="22"/>
      <c r="CQ19" s="22"/>
      <c r="CR19" s="22"/>
      <c r="CS19" s="22"/>
      <c r="CT19" s="22"/>
      <c r="CU19" s="22"/>
      <c r="CV19" s="23" t="s">
        <v>78</v>
      </c>
      <c r="CW19" s="23"/>
      <c r="CX19" s="23"/>
      <c r="CY19" s="23"/>
      <c r="CZ19" s="24" t="s">
        <v>78</v>
      </c>
      <c r="DA19" s="24"/>
      <c r="DB19" s="24"/>
      <c r="DC19" s="24"/>
      <c r="DD19" s="24"/>
    </row>
    <row r="20" spans="76:108" s="18" customFormat="1" ht="15" customHeight="1" x14ac:dyDescent="0.3">
      <c r="BX20" s="18" t="e">
        <f>COUNTIF($BY$12:BY20,BY20)&amp;BY20</f>
        <v>#REF!</v>
      </c>
      <c r="BY20" s="18" t="e">
        <f>#REF!&amp;#REF!</f>
        <v>#REF!</v>
      </c>
      <c r="CA20" s="20" t="s">
        <v>78</v>
      </c>
      <c r="CB20" s="20"/>
      <c r="CC20" s="20" t="s">
        <v>78</v>
      </c>
      <c r="CD20" s="20"/>
      <c r="CE20" s="20"/>
      <c r="CF20" s="21" t="s">
        <v>78</v>
      </c>
      <c r="CG20" s="21"/>
      <c r="CH20" s="21"/>
      <c r="CI20" s="21"/>
      <c r="CJ20" s="21"/>
      <c r="CK20" s="20" t="s">
        <v>78</v>
      </c>
      <c r="CL20" s="20"/>
      <c r="CM20" s="20"/>
      <c r="CN20" s="20"/>
      <c r="CO20" s="22" t="s">
        <v>78</v>
      </c>
      <c r="CP20" s="22"/>
      <c r="CQ20" s="22"/>
      <c r="CR20" s="22"/>
      <c r="CS20" s="22"/>
      <c r="CT20" s="22"/>
      <c r="CU20" s="22"/>
      <c r="CV20" s="23" t="s">
        <v>78</v>
      </c>
      <c r="CW20" s="23"/>
      <c r="CX20" s="23"/>
      <c r="CY20" s="23"/>
      <c r="CZ20" s="24" t="s">
        <v>78</v>
      </c>
      <c r="DA20" s="24"/>
      <c r="DB20" s="24"/>
      <c r="DC20" s="24"/>
      <c r="DD20" s="24"/>
    </row>
    <row r="21" spans="76:108" s="18" customFormat="1" ht="15" customHeight="1" x14ac:dyDescent="0.3">
      <c r="BX21" s="18" t="e">
        <f>COUNTIF($BY$12:BY21,BY21)&amp;BY21</f>
        <v>#REF!</v>
      </c>
      <c r="BY21" s="18" t="e">
        <f>#REF!&amp;#REF!</f>
        <v>#REF!</v>
      </c>
      <c r="CA21" s="20" t="s">
        <v>78</v>
      </c>
      <c r="CB21" s="20"/>
      <c r="CC21" s="20" t="s">
        <v>78</v>
      </c>
      <c r="CD21" s="20"/>
      <c r="CE21" s="20"/>
      <c r="CF21" s="21" t="s">
        <v>78</v>
      </c>
      <c r="CG21" s="21"/>
      <c r="CH21" s="21"/>
      <c r="CI21" s="21"/>
      <c r="CJ21" s="21"/>
      <c r="CK21" s="20" t="s">
        <v>78</v>
      </c>
      <c r="CL21" s="20"/>
      <c r="CM21" s="20"/>
      <c r="CN21" s="20"/>
      <c r="CO21" s="22" t="s">
        <v>78</v>
      </c>
      <c r="CP21" s="22"/>
      <c r="CQ21" s="22"/>
      <c r="CR21" s="22"/>
      <c r="CS21" s="22"/>
      <c r="CT21" s="22"/>
      <c r="CU21" s="22"/>
      <c r="CV21" s="23" t="s">
        <v>78</v>
      </c>
      <c r="CW21" s="23"/>
      <c r="CX21" s="23"/>
      <c r="CY21" s="23"/>
      <c r="CZ21" s="24" t="s">
        <v>78</v>
      </c>
      <c r="DA21" s="24"/>
      <c r="DB21" s="24"/>
      <c r="DC21" s="24"/>
      <c r="DD21" s="24"/>
    </row>
    <row r="22" spans="76:108" s="18" customFormat="1" ht="15" customHeight="1" x14ac:dyDescent="0.3">
      <c r="BX22" s="18" t="e">
        <f>COUNTIF($BY$12:BY22,BY22)&amp;BY22</f>
        <v>#REF!</v>
      </c>
      <c r="BY22" s="18" t="e">
        <f>#REF!&amp;#REF!</f>
        <v>#REF!</v>
      </c>
      <c r="CA22" s="20" t="s">
        <v>78</v>
      </c>
      <c r="CB22" s="20"/>
      <c r="CC22" s="20" t="s">
        <v>78</v>
      </c>
      <c r="CD22" s="20"/>
      <c r="CE22" s="20"/>
      <c r="CF22" s="21" t="s">
        <v>78</v>
      </c>
      <c r="CG22" s="21"/>
      <c r="CH22" s="21"/>
      <c r="CI22" s="21"/>
      <c r="CJ22" s="21"/>
      <c r="CK22" s="20" t="s">
        <v>78</v>
      </c>
      <c r="CL22" s="20"/>
      <c r="CM22" s="20"/>
      <c r="CN22" s="20"/>
      <c r="CO22" s="22" t="s">
        <v>78</v>
      </c>
      <c r="CP22" s="22"/>
      <c r="CQ22" s="22"/>
      <c r="CR22" s="22"/>
      <c r="CS22" s="22"/>
      <c r="CT22" s="22"/>
      <c r="CU22" s="22"/>
      <c r="CV22" s="23" t="s">
        <v>78</v>
      </c>
      <c r="CW22" s="23"/>
      <c r="CX22" s="23"/>
      <c r="CY22" s="23"/>
      <c r="CZ22" s="24" t="s">
        <v>78</v>
      </c>
      <c r="DA22" s="24"/>
      <c r="DB22" s="24"/>
      <c r="DC22" s="24"/>
      <c r="DD22" s="24"/>
    </row>
    <row r="23" spans="76:108" s="18" customFormat="1" ht="15" customHeight="1" x14ac:dyDescent="0.3">
      <c r="BX23" s="18" t="e">
        <f>COUNTIF($BY$12:BY23,BY23)&amp;BY23</f>
        <v>#REF!</v>
      </c>
      <c r="BY23" s="18" t="e">
        <f>#REF!&amp;#REF!</f>
        <v>#REF!</v>
      </c>
      <c r="CA23" s="20" t="s">
        <v>78</v>
      </c>
      <c r="CB23" s="20"/>
      <c r="CC23" s="20" t="s">
        <v>78</v>
      </c>
      <c r="CD23" s="20"/>
      <c r="CE23" s="20"/>
      <c r="CF23" s="21" t="s">
        <v>78</v>
      </c>
      <c r="CG23" s="21"/>
      <c r="CH23" s="21"/>
      <c r="CI23" s="21"/>
      <c r="CJ23" s="21"/>
      <c r="CK23" s="20" t="s">
        <v>78</v>
      </c>
      <c r="CL23" s="20"/>
      <c r="CM23" s="20"/>
      <c r="CN23" s="20"/>
      <c r="CO23" s="22" t="s">
        <v>78</v>
      </c>
      <c r="CP23" s="22"/>
      <c r="CQ23" s="22"/>
      <c r="CR23" s="22"/>
      <c r="CS23" s="22"/>
      <c r="CT23" s="22"/>
      <c r="CU23" s="22"/>
      <c r="CV23" s="23" t="s">
        <v>78</v>
      </c>
      <c r="CW23" s="23"/>
      <c r="CX23" s="23"/>
      <c r="CY23" s="23"/>
      <c r="CZ23" s="24" t="s">
        <v>78</v>
      </c>
      <c r="DA23" s="24"/>
      <c r="DB23" s="24"/>
      <c r="DC23" s="24"/>
      <c r="DD23" s="24"/>
    </row>
    <row r="24" spans="76:108" s="18" customFormat="1" ht="15" customHeight="1" x14ac:dyDescent="0.3">
      <c r="BX24" s="18" t="e">
        <f>COUNTIF($BY$12:BY24,BY24)&amp;BY24</f>
        <v>#REF!</v>
      </c>
      <c r="BY24" s="18" t="e">
        <f>#REF!&amp;#REF!</f>
        <v>#REF!</v>
      </c>
      <c r="CA24" s="20" t="s">
        <v>78</v>
      </c>
      <c r="CB24" s="20"/>
      <c r="CC24" s="20" t="s">
        <v>78</v>
      </c>
      <c r="CD24" s="20"/>
      <c r="CE24" s="20"/>
      <c r="CF24" s="21" t="s">
        <v>78</v>
      </c>
      <c r="CG24" s="21"/>
      <c r="CH24" s="21"/>
      <c r="CI24" s="21"/>
      <c r="CJ24" s="21"/>
      <c r="CK24" s="20" t="s">
        <v>78</v>
      </c>
      <c r="CL24" s="20"/>
      <c r="CM24" s="20"/>
      <c r="CN24" s="20"/>
      <c r="CO24" s="22" t="s">
        <v>78</v>
      </c>
      <c r="CP24" s="22"/>
      <c r="CQ24" s="22"/>
      <c r="CR24" s="22"/>
      <c r="CS24" s="22"/>
      <c r="CT24" s="22"/>
      <c r="CU24" s="22"/>
      <c r="CV24" s="23" t="s">
        <v>78</v>
      </c>
      <c r="CW24" s="23"/>
      <c r="CX24" s="23"/>
      <c r="CY24" s="23"/>
      <c r="CZ24" s="24" t="s">
        <v>78</v>
      </c>
      <c r="DA24" s="24"/>
      <c r="DB24" s="24"/>
      <c r="DC24" s="24"/>
      <c r="DD24" s="24"/>
    </row>
    <row r="25" spans="76:108" s="18" customFormat="1" ht="15" customHeight="1" x14ac:dyDescent="0.3">
      <c r="BX25" s="18" t="e">
        <f>COUNTIF($BY$12:BY25,BY25)&amp;BY25</f>
        <v>#REF!</v>
      </c>
      <c r="BY25" s="18" t="e">
        <f>#REF!&amp;#REF!</f>
        <v>#REF!</v>
      </c>
      <c r="CA25" s="20" t="s">
        <v>78</v>
      </c>
      <c r="CB25" s="20"/>
      <c r="CC25" s="20" t="s">
        <v>78</v>
      </c>
      <c r="CD25" s="20"/>
      <c r="CE25" s="20"/>
      <c r="CF25" s="21" t="s">
        <v>78</v>
      </c>
      <c r="CG25" s="21"/>
      <c r="CH25" s="21"/>
      <c r="CI25" s="21"/>
      <c r="CJ25" s="21"/>
      <c r="CK25" s="20" t="s">
        <v>78</v>
      </c>
      <c r="CL25" s="20"/>
      <c r="CM25" s="20"/>
      <c r="CN25" s="20"/>
      <c r="CO25" s="22" t="s">
        <v>78</v>
      </c>
      <c r="CP25" s="22"/>
      <c r="CQ25" s="22"/>
      <c r="CR25" s="22"/>
      <c r="CS25" s="22"/>
      <c r="CT25" s="22"/>
      <c r="CU25" s="22"/>
      <c r="CV25" s="23" t="s">
        <v>78</v>
      </c>
      <c r="CW25" s="23"/>
      <c r="CX25" s="23"/>
      <c r="CY25" s="23"/>
      <c r="CZ25" s="24" t="s">
        <v>78</v>
      </c>
      <c r="DA25" s="24"/>
      <c r="DB25" s="24"/>
      <c r="DC25" s="24"/>
      <c r="DD25" s="24"/>
    </row>
    <row r="26" spans="76:108" s="18" customFormat="1" ht="15" customHeight="1" x14ac:dyDescent="0.3">
      <c r="BX26" s="18" t="e">
        <f>COUNTIF($BY$12:BY26,BY26)&amp;BY26</f>
        <v>#REF!</v>
      </c>
      <c r="BY26" s="18" t="e">
        <f>#REF!&amp;#REF!</f>
        <v>#REF!</v>
      </c>
      <c r="CA26" s="20" t="s">
        <v>78</v>
      </c>
      <c r="CB26" s="20"/>
      <c r="CC26" s="20" t="s">
        <v>78</v>
      </c>
      <c r="CD26" s="20"/>
      <c r="CE26" s="20"/>
      <c r="CF26" s="21" t="s">
        <v>78</v>
      </c>
      <c r="CG26" s="21"/>
      <c r="CH26" s="21"/>
      <c r="CI26" s="21"/>
      <c r="CJ26" s="21"/>
      <c r="CK26" s="20" t="s">
        <v>78</v>
      </c>
      <c r="CL26" s="20"/>
      <c r="CM26" s="20"/>
      <c r="CN26" s="20"/>
      <c r="CO26" s="22" t="s">
        <v>78</v>
      </c>
      <c r="CP26" s="22"/>
      <c r="CQ26" s="22"/>
      <c r="CR26" s="22"/>
      <c r="CS26" s="22"/>
      <c r="CT26" s="22"/>
      <c r="CU26" s="22"/>
      <c r="CV26" s="23" t="s">
        <v>78</v>
      </c>
      <c r="CW26" s="23"/>
      <c r="CX26" s="23"/>
      <c r="CY26" s="23"/>
      <c r="CZ26" s="24" t="s">
        <v>78</v>
      </c>
      <c r="DA26" s="24"/>
      <c r="DB26" s="24"/>
      <c r="DC26" s="24"/>
      <c r="DD26" s="24"/>
    </row>
    <row r="27" spans="76:108" s="18" customFormat="1" ht="15" customHeight="1" x14ac:dyDescent="0.3">
      <c r="BX27" s="18" t="e">
        <f>COUNTIF($BY$12:BY27,BY27)&amp;BY27</f>
        <v>#REF!</v>
      </c>
      <c r="BY27" s="18" t="e">
        <f>#REF!&amp;#REF!</f>
        <v>#REF!</v>
      </c>
      <c r="CA27" s="20" t="s">
        <v>78</v>
      </c>
      <c r="CB27" s="20"/>
      <c r="CC27" s="20" t="s">
        <v>78</v>
      </c>
      <c r="CD27" s="20"/>
      <c r="CE27" s="20"/>
      <c r="CF27" s="21" t="s">
        <v>78</v>
      </c>
      <c r="CG27" s="21"/>
      <c r="CH27" s="21"/>
      <c r="CI27" s="21"/>
      <c r="CJ27" s="21"/>
      <c r="CK27" s="20" t="s">
        <v>78</v>
      </c>
      <c r="CL27" s="20"/>
      <c r="CM27" s="20"/>
      <c r="CN27" s="20"/>
      <c r="CO27" s="22" t="s">
        <v>78</v>
      </c>
      <c r="CP27" s="22"/>
      <c r="CQ27" s="22"/>
      <c r="CR27" s="22"/>
      <c r="CS27" s="22"/>
      <c r="CT27" s="22"/>
      <c r="CU27" s="22"/>
      <c r="CV27" s="23" t="s">
        <v>78</v>
      </c>
      <c r="CW27" s="23"/>
      <c r="CX27" s="23"/>
      <c r="CY27" s="23"/>
      <c r="CZ27" s="24" t="s">
        <v>78</v>
      </c>
      <c r="DA27" s="24"/>
      <c r="DB27" s="24"/>
      <c r="DC27" s="24"/>
      <c r="DD27" s="24"/>
    </row>
    <row r="28" spans="76:108" s="18" customFormat="1" ht="15" customHeight="1" x14ac:dyDescent="0.3">
      <c r="BX28" s="18" t="e">
        <f>COUNTIF($BY$12:BY28,BY28)&amp;BY28</f>
        <v>#REF!</v>
      </c>
      <c r="BY28" s="18" t="e">
        <f>#REF!&amp;#REF!</f>
        <v>#REF!</v>
      </c>
      <c r="CA28" s="20" t="s">
        <v>78</v>
      </c>
      <c r="CB28" s="20"/>
      <c r="CC28" s="20" t="s">
        <v>78</v>
      </c>
      <c r="CD28" s="20"/>
      <c r="CE28" s="20"/>
      <c r="CF28" s="21" t="s">
        <v>78</v>
      </c>
      <c r="CG28" s="21"/>
      <c r="CH28" s="21"/>
      <c r="CI28" s="21"/>
      <c r="CJ28" s="21"/>
      <c r="CK28" s="20" t="s">
        <v>78</v>
      </c>
      <c r="CL28" s="20"/>
      <c r="CM28" s="20"/>
      <c r="CN28" s="20"/>
      <c r="CO28" s="22" t="s">
        <v>78</v>
      </c>
      <c r="CP28" s="22"/>
      <c r="CQ28" s="22"/>
      <c r="CR28" s="22"/>
      <c r="CS28" s="22"/>
      <c r="CT28" s="22"/>
      <c r="CU28" s="22"/>
      <c r="CV28" s="23" t="s">
        <v>78</v>
      </c>
      <c r="CW28" s="23"/>
      <c r="CX28" s="23"/>
      <c r="CY28" s="23"/>
      <c r="CZ28" s="24" t="s">
        <v>78</v>
      </c>
      <c r="DA28" s="24"/>
      <c r="DB28" s="24"/>
      <c r="DC28" s="24"/>
      <c r="DD28" s="24"/>
    </row>
    <row r="29" spans="76:108" s="18" customFormat="1" ht="15" customHeight="1" x14ac:dyDescent="0.3">
      <c r="BX29" s="18" t="e">
        <f>COUNTIF($BY$12:BY29,BY29)&amp;BY29</f>
        <v>#REF!</v>
      </c>
      <c r="BY29" s="18" t="e">
        <f>#REF!&amp;#REF!</f>
        <v>#REF!</v>
      </c>
      <c r="CA29" s="20" t="s">
        <v>78</v>
      </c>
      <c r="CB29" s="20"/>
      <c r="CC29" s="20" t="s">
        <v>78</v>
      </c>
      <c r="CD29" s="20"/>
      <c r="CE29" s="20"/>
      <c r="CF29" s="21" t="s">
        <v>78</v>
      </c>
      <c r="CG29" s="21"/>
      <c r="CH29" s="21"/>
      <c r="CI29" s="21"/>
      <c r="CJ29" s="21"/>
      <c r="CK29" s="20" t="s">
        <v>78</v>
      </c>
      <c r="CL29" s="20"/>
      <c r="CM29" s="20"/>
      <c r="CN29" s="20"/>
      <c r="CO29" s="22" t="s">
        <v>78</v>
      </c>
      <c r="CP29" s="22"/>
      <c r="CQ29" s="22"/>
      <c r="CR29" s="22"/>
      <c r="CS29" s="22"/>
      <c r="CT29" s="22"/>
      <c r="CU29" s="22"/>
      <c r="CV29" s="23" t="s">
        <v>78</v>
      </c>
      <c r="CW29" s="23"/>
      <c r="CX29" s="23"/>
      <c r="CY29" s="23"/>
      <c r="CZ29" s="24" t="s">
        <v>78</v>
      </c>
      <c r="DA29" s="24"/>
      <c r="DB29" s="24"/>
      <c r="DC29" s="24"/>
      <c r="DD29" s="24"/>
    </row>
    <row r="30" spans="76:108" s="18" customFormat="1" ht="15" customHeight="1" x14ac:dyDescent="0.3">
      <c r="BX30" s="18" t="e">
        <f>COUNTIF($BY$12:BY30,BY30)&amp;BY30</f>
        <v>#REF!</v>
      </c>
      <c r="BY30" s="18" t="e">
        <f>#REF!&amp;#REF!</f>
        <v>#REF!</v>
      </c>
      <c r="CA30" s="20" t="s">
        <v>78</v>
      </c>
      <c r="CB30" s="20"/>
      <c r="CC30" s="20" t="s">
        <v>78</v>
      </c>
      <c r="CD30" s="20"/>
      <c r="CE30" s="20"/>
      <c r="CF30" s="21" t="s">
        <v>78</v>
      </c>
      <c r="CG30" s="21"/>
      <c r="CH30" s="21"/>
      <c r="CI30" s="21"/>
      <c r="CJ30" s="21"/>
      <c r="CK30" s="20" t="s">
        <v>78</v>
      </c>
      <c r="CL30" s="20"/>
      <c r="CM30" s="20"/>
      <c r="CN30" s="20"/>
      <c r="CO30" s="22" t="s">
        <v>78</v>
      </c>
      <c r="CP30" s="22"/>
      <c r="CQ30" s="22"/>
      <c r="CR30" s="22"/>
      <c r="CS30" s="22"/>
      <c r="CT30" s="22"/>
      <c r="CU30" s="22"/>
      <c r="CV30" s="23" t="s">
        <v>78</v>
      </c>
      <c r="CW30" s="23"/>
      <c r="CX30" s="23"/>
      <c r="CY30" s="23"/>
      <c r="CZ30" s="24" t="s">
        <v>78</v>
      </c>
      <c r="DA30" s="24"/>
      <c r="DB30" s="24"/>
      <c r="DC30" s="24"/>
      <c r="DD30" s="24"/>
    </row>
    <row r="31" spans="76:108" s="18" customFormat="1" ht="15" customHeight="1" x14ac:dyDescent="0.3">
      <c r="BX31" s="18" t="e">
        <f>COUNTIF($BY$12:BY31,BY31)&amp;BY31</f>
        <v>#REF!</v>
      </c>
      <c r="BY31" s="18" t="e">
        <f>#REF!&amp;#REF!</f>
        <v>#REF!</v>
      </c>
      <c r="CA31" s="20" t="s">
        <v>78</v>
      </c>
      <c r="CB31" s="20"/>
      <c r="CC31" s="20" t="s">
        <v>78</v>
      </c>
      <c r="CD31" s="20"/>
      <c r="CE31" s="20"/>
      <c r="CF31" s="21" t="s">
        <v>78</v>
      </c>
      <c r="CG31" s="21"/>
      <c r="CH31" s="21"/>
      <c r="CI31" s="21"/>
      <c r="CJ31" s="21"/>
      <c r="CK31" s="20" t="s">
        <v>78</v>
      </c>
      <c r="CL31" s="20"/>
      <c r="CM31" s="20"/>
      <c r="CN31" s="20"/>
      <c r="CO31" s="22" t="s">
        <v>78</v>
      </c>
      <c r="CP31" s="22"/>
      <c r="CQ31" s="22"/>
      <c r="CR31" s="22"/>
      <c r="CS31" s="22"/>
      <c r="CT31" s="22"/>
      <c r="CU31" s="22"/>
      <c r="CV31" s="23" t="s">
        <v>78</v>
      </c>
      <c r="CW31" s="23"/>
      <c r="CX31" s="23"/>
      <c r="CY31" s="23"/>
      <c r="CZ31" s="24" t="s">
        <v>78</v>
      </c>
      <c r="DA31" s="24"/>
      <c r="DB31" s="24"/>
      <c r="DC31" s="24"/>
      <c r="DD31" s="24"/>
    </row>
    <row r="32" spans="76:108" s="18" customFormat="1" ht="15" customHeight="1" x14ac:dyDescent="0.3">
      <c r="BX32" s="18" t="e">
        <f>COUNTIF($BY$12:BY32,BY32)&amp;BY32</f>
        <v>#REF!</v>
      </c>
      <c r="BY32" s="18" t="e">
        <f>#REF!&amp;#REF!</f>
        <v>#REF!</v>
      </c>
      <c r="CA32" s="20" t="s">
        <v>78</v>
      </c>
      <c r="CB32" s="20"/>
      <c r="CC32" s="20" t="s">
        <v>78</v>
      </c>
      <c r="CD32" s="20"/>
      <c r="CE32" s="20"/>
      <c r="CF32" s="21" t="s">
        <v>78</v>
      </c>
      <c r="CG32" s="21"/>
      <c r="CH32" s="21"/>
      <c r="CI32" s="21"/>
      <c r="CJ32" s="21"/>
      <c r="CK32" s="20" t="s">
        <v>78</v>
      </c>
      <c r="CL32" s="20"/>
      <c r="CM32" s="20"/>
      <c r="CN32" s="20"/>
      <c r="CO32" s="22" t="s">
        <v>78</v>
      </c>
      <c r="CP32" s="22"/>
      <c r="CQ32" s="22"/>
      <c r="CR32" s="22"/>
      <c r="CS32" s="22"/>
      <c r="CT32" s="22"/>
      <c r="CU32" s="22"/>
      <c r="CV32" s="23" t="s">
        <v>78</v>
      </c>
      <c r="CW32" s="23"/>
      <c r="CX32" s="23"/>
      <c r="CY32" s="23"/>
      <c r="CZ32" s="24" t="s">
        <v>78</v>
      </c>
      <c r="DA32" s="24"/>
      <c r="DB32" s="24"/>
      <c r="DC32" s="24"/>
      <c r="DD32" s="24"/>
    </row>
    <row r="33" spans="76:108" s="18" customFormat="1" ht="15" customHeight="1" x14ac:dyDescent="0.3">
      <c r="BX33" s="18" t="e">
        <f>COUNTIF($BY$12:BY33,BY33)&amp;BY33</f>
        <v>#REF!</v>
      </c>
      <c r="BY33" s="18" t="e">
        <f>#REF!&amp;#REF!</f>
        <v>#REF!</v>
      </c>
      <c r="CA33" s="20" t="s">
        <v>78</v>
      </c>
      <c r="CB33" s="20"/>
      <c r="CC33" s="20" t="s">
        <v>78</v>
      </c>
      <c r="CD33" s="20"/>
      <c r="CE33" s="20"/>
      <c r="CF33" s="21" t="s">
        <v>78</v>
      </c>
      <c r="CG33" s="21"/>
      <c r="CH33" s="21"/>
      <c r="CI33" s="21"/>
      <c r="CJ33" s="21"/>
      <c r="CK33" s="20" t="s">
        <v>78</v>
      </c>
      <c r="CL33" s="20"/>
      <c r="CM33" s="20"/>
      <c r="CN33" s="20"/>
      <c r="CO33" s="22" t="s">
        <v>78</v>
      </c>
      <c r="CP33" s="22"/>
      <c r="CQ33" s="22"/>
      <c r="CR33" s="22"/>
      <c r="CS33" s="22"/>
      <c r="CT33" s="22"/>
      <c r="CU33" s="22"/>
      <c r="CV33" s="23" t="s">
        <v>78</v>
      </c>
      <c r="CW33" s="23"/>
      <c r="CX33" s="23"/>
      <c r="CY33" s="23"/>
      <c r="CZ33" s="24" t="s">
        <v>78</v>
      </c>
      <c r="DA33" s="24"/>
      <c r="DB33" s="24"/>
      <c r="DC33" s="24"/>
      <c r="DD33" s="24"/>
    </row>
    <row r="34" spans="76:108" s="18" customFormat="1" ht="15" customHeight="1" x14ac:dyDescent="0.3">
      <c r="BX34" s="18" t="e">
        <f>COUNTIF($BY$12:BY34,BY34)&amp;BY34</f>
        <v>#REF!</v>
      </c>
      <c r="BY34" s="18" t="e">
        <f>#REF!&amp;#REF!</f>
        <v>#REF!</v>
      </c>
      <c r="CA34" s="20" t="s">
        <v>78</v>
      </c>
      <c r="CB34" s="20"/>
      <c r="CC34" s="20" t="s">
        <v>78</v>
      </c>
      <c r="CD34" s="20"/>
      <c r="CE34" s="20"/>
      <c r="CF34" s="21" t="s">
        <v>78</v>
      </c>
      <c r="CG34" s="21"/>
      <c r="CH34" s="21"/>
      <c r="CI34" s="21"/>
      <c r="CJ34" s="21"/>
      <c r="CK34" s="20" t="s">
        <v>78</v>
      </c>
      <c r="CL34" s="20"/>
      <c r="CM34" s="20"/>
      <c r="CN34" s="20"/>
      <c r="CO34" s="22" t="s">
        <v>78</v>
      </c>
      <c r="CP34" s="22"/>
      <c r="CQ34" s="22"/>
      <c r="CR34" s="22"/>
      <c r="CS34" s="22"/>
      <c r="CT34" s="22"/>
      <c r="CU34" s="22"/>
      <c r="CV34" s="23" t="s">
        <v>78</v>
      </c>
      <c r="CW34" s="23"/>
      <c r="CX34" s="23"/>
      <c r="CY34" s="23"/>
      <c r="CZ34" s="24" t="s">
        <v>78</v>
      </c>
      <c r="DA34" s="24"/>
      <c r="DB34" s="24"/>
      <c r="DC34" s="24"/>
      <c r="DD34" s="24"/>
    </row>
    <row r="35" spans="76:108" s="18" customFormat="1" ht="15" customHeight="1" x14ac:dyDescent="0.3">
      <c r="BX35" s="18" t="e">
        <f>COUNTIF($BY$12:BY35,BY35)&amp;BY35</f>
        <v>#REF!</v>
      </c>
      <c r="BY35" s="18" t="e">
        <f>#REF!&amp;#REF!</f>
        <v>#REF!</v>
      </c>
      <c r="CA35" s="20" t="s">
        <v>78</v>
      </c>
      <c r="CB35" s="20"/>
      <c r="CC35" s="20" t="s">
        <v>78</v>
      </c>
      <c r="CD35" s="20"/>
      <c r="CE35" s="20"/>
      <c r="CF35" s="21" t="s">
        <v>78</v>
      </c>
      <c r="CG35" s="21"/>
      <c r="CH35" s="21"/>
      <c r="CI35" s="21"/>
      <c r="CJ35" s="21"/>
      <c r="CK35" s="20" t="s">
        <v>78</v>
      </c>
      <c r="CL35" s="20"/>
      <c r="CM35" s="20"/>
      <c r="CN35" s="20"/>
      <c r="CO35" s="22" t="s">
        <v>78</v>
      </c>
      <c r="CP35" s="22"/>
      <c r="CQ35" s="22"/>
      <c r="CR35" s="22"/>
      <c r="CS35" s="22"/>
      <c r="CT35" s="22"/>
      <c r="CU35" s="22"/>
      <c r="CV35" s="23" t="s">
        <v>78</v>
      </c>
      <c r="CW35" s="23"/>
      <c r="CX35" s="23"/>
      <c r="CY35" s="23"/>
      <c r="CZ35" s="24" t="s">
        <v>78</v>
      </c>
      <c r="DA35" s="24"/>
      <c r="DB35" s="24"/>
      <c r="DC35" s="24"/>
      <c r="DD35" s="24"/>
    </row>
    <row r="36" spans="76:108" ht="15" customHeight="1" x14ac:dyDescent="0.3">
      <c r="CA36" s="25" t="s">
        <v>17</v>
      </c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32">
        <v>5310.6399999999994</v>
      </c>
      <c r="CW36" s="32"/>
      <c r="CX36" s="32"/>
      <c r="CY36" s="32"/>
      <c r="CZ36" s="33">
        <v>33321.149999999994</v>
      </c>
      <c r="DA36" s="33"/>
      <c r="DB36" s="33"/>
      <c r="DC36" s="33"/>
      <c r="DD36" s="33"/>
    </row>
    <row r="37" spans="76:108" x14ac:dyDescent="0.3">
      <c r="CA37" s="17"/>
      <c r="CB37" s="17"/>
      <c r="CC37" s="17"/>
      <c r="CD37" s="17"/>
      <c r="CE37" s="17"/>
      <c r="CF37" s="26"/>
      <c r="CG37" s="26"/>
      <c r="CH37" s="26"/>
      <c r="CI37" s="26"/>
      <c r="CJ37" s="26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27"/>
      <c r="CW37" s="27"/>
      <c r="CX37" s="27"/>
      <c r="CY37" s="27"/>
      <c r="CZ37" s="28"/>
      <c r="DA37" s="28"/>
      <c r="DB37" s="28"/>
      <c r="DC37" s="28"/>
      <c r="DD37" s="28"/>
    </row>
    <row r="38" spans="76:108" x14ac:dyDescent="0.3">
      <c r="CA38" s="17"/>
      <c r="CB38" s="17"/>
      <c r="CC38" s="17"/>
      <c r="CD38" s="17"/>
      <c r="CE38" s="17"/>
      <c r="CF38" s="26"/>
      <c r="CG38" s="26"/>
      <c r="CH38" s="26"/>
      <c r="CI38" s="26"/>
      <c r="CJ38" s="26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27"/>
      <c r="CW38" s="27"/>
      <c r="CX38" s="27"/>
      <c r="CY38" s="27"/>
      <c r="CZ38" s="28"/>
      <c r="DA38" s="28"/>
      <c r="DB38" s="28"/>
      <c r="DC38" s="28"/>
      <c r="DD38" s="28"/>
    </row>
    <row r="39" spans="76:108" x14ac:dyDescent="0.3">
      <c r="CA39" s="17"/>
      <c r="CB39" s="17"/>
      <c r="CC39" s="17"/>
      <c r="CD39" s="17"/>
      <c r="CE39" s="17"/>
      <c r="CF39" s="26"/>
      <c r="CG39" s="26"/>
      <c r="CH39" s="26"/>
      <c r="CI39" s="26"/>
      <c r="CJ39" s="26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27"/>
      <c r="CW39" s="27"/>
      <c r="CX39" s="27"/>
      <c r="CY39" s="27"/>
      <c r="CZ39" s="28"/>
      <c r="DA39" s="28"/>
      <c r="DB39" s="28"/>
      <c r="DC39" s="28"/>
      <c r="DD39" s="28"/>
    </row>
    <row r="40" spans="76:108" x14ac:dyDescent="0.3">
      <c r="CA40" s="17"/>
      <c r="CB40" s="17"/>
      <c r="CC40" s="17"/>
      <c r="CD40" s="17"/>
      <c r="CE40" s="17"/>
      <c r="CF40" s="26"/>
      <c r="CG40" s="26"/>
      <c r="CH40" s="26"/>
      <c r="CI40" s="26"/>
      <c r="CJ40" s="26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27"/>
      <c r="CW40" s="27"/>
      <c r="CX40" s="27"/>
      <c r="CY40" s="27"/>
      <c r="CZ40" s="28"/>
      <c r="DA40" s="28"/>
      <c r="DB40" s="28"/>
      <c r="DC40" s="28"/>
      <c r="DD40" s="28"/>
    </row>
    <row r="41" spans="76:108" x14ac:dyDescent="0.3">
      <c r="CA41" s="17"/>
      <c r="CB41" s="17"/>
      <c r="CC41" s="17"/>
      <c r="CD41" s="17"/>
      <c r="CE41" s="17"/>
      <c r="CF41" s="26"/>
      <c r="CG41" s="26"/>
      <c r="CH41" s="26"/>
      <c r="CI41" s="26"/>
      <c r="CJ41" s="26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27"/>
      <c r="CW41" s="27"/>
      <c r="CX41" s="27"/>
      <c r="CY41" s="27"/>
      <c r="CZ41" s="28"/>
      <c r="DA41" s="28"/>
      <c r="DB41" s="28"/>
      <c r="DC41" s="28"/>
      <c r="DD41" s="28"/>
    </row>
    <row r="42" spans="76:108" x14ac:dyDescent="0.3">
      <c r="CA42" s="17"/>
      <c r="CB42" s="17"/>
      <c r="CC42" s="17"/>
      <c r="CD42" s="17"/>
      <c r="CE42" s="17"/>
      <c r="CF42" s="26"/>
      <c r="CG42" s="26"/>
      <c r="CH42" s="26"/>
      <c r="CI42" s="26"/>
      <c r="CJ42" s="26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27"/>
      <c r="CW42" s="27"/>
      <c r="CX42" s="27"/>
      <c r="CY42" s="27"/>
      <c r="CZ42" s="28"/>
      <c r="DA42" s="28"/>
      <c r="DB42" s="28"/>
      <c r="DC42" s="28"/>
      <c r="DD42" s="28"/>
    </row>
    <row r="43" spans="76:108" x14ac:dyDescent="0.3">
      <c r="CA43" s="17"/>
      <c r="CB43" s="17"/>
      <c r="CC43" s="17"/>
      <c r="CD43" s="17"/>
      <c r="CE43" s="17"/>
      <c r="CF43" s="26"/>
      <c r="CG43" s="26"/>
      <c r="CH43" s="26"/>
      <c r="CI43" s="26"/>
      <c r="CJ43" s="26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27"/>
      <c r="CW43" s="27"/>
      <c r="CX43" s="27"/>
      <c r="CY43" s="27"/>
      <c r="CZ43" s="28"/>
      <c r="DA43" s="28"/>
      <c r="DB43" s="28"/>
      <c r="DC43" s="28"/>
      <c r="DD43" s="28"/>
    </row>
    <row r="44" spans="76:108" x14ac:dyDescent="0.3">
      <c r="CA44" s="17"/>
      <c r="CB44" s="17"/>
      <c r="CC44" s="17"/>
      <c r="CD44" s="17"/>
      <c r="CE44" s="17"/>
      <c r="CF44" s="26"/>
      <c r="CG44" s="26"/>
      <c r="CH44" s="26"/>
      <c r="CI44" s="26"/>
      <c r="CJ44" s="26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27"/>
      <c r="CW44" s="27"/>
      <c r="CX44" s="27"/>
      <c r="CY44" s="27"/>
      <c r="CZ44" s="28"/>
      <c r="DA44" s="28"/>
      <c r="DB44" s="28"/>
      <c r="DC44" s="28"/>
      <c r="DD44" s="28"/>
    </row>
    <row r="45" spans="76:108" x14ac:dyDescent="0.3">
      <c r="CA45" s="17"/>
      <c r="CB45" s="17"/>
      <c r="CC45" s="17"/>
      <c r="CD45" s="17"/>
      <c r="CE45" s="17"/>
      <c r="CF45" s="26"/>
      <c r="CG45" s="26"/>
      <c r="CH45" s="26"/>
      <c r="CI45" s="26"/>
      <c r="CJ45" s="26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27"/>
      <c r="CW45" s="27"/>
      <c r="CX45" s="27"/>
      <c r="CY45" s="27"/>
      <c r="CZ45" s="28"/>
      <c r="DA45" s="28"/>
      <c r="DB45" s="28"/>
      <c r="DC45" s="28"/>
      <c r="DD45" s="28"/>
    </row>
    <row r="46" spans="76:108" x14ac:dyDescent="0.3">
      <c r="CA46" s="17"/>
      <c r="CB46" s="17"/>
      <c r="CC46" s="17"/>
      <c r="CD46" s="17"/>
      <c r="CE46" s="17"/>
      <c r="CF46" s="26"/>
      <c r="CG46" s="26"/>
      <c r="CH46" s="26"/>
      <c r="CI46" s="26"/>
      <c r="CJ46" s="26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27"/>
      <c r="CW46" s="27"/>
      <c r="CX46" s="27"/>
      <c r="CY46" s="27"/>
      <c r="CZ46" s="28"/>
      <c r="DA46" s="28"/>
      <c r="DB46" s="28"/>
      <c r="DC46" s="28"/>
      <c r="DD46" s="28"/>
    </row>
    <row r="47" spans="76:108" x14ac:dyDescent="0.3">
      <c r="CA47" s="17"/>
      <c r="CB47" s="17"/>
      <c r="CC47" s="17"/>
      <c r="CD47" s="17"/>
      <c r="CE47" s="17"/>
      <c r="CF47" s="26"/>
      <c r="CG47" s="26"/>
      <c r="CH47" s="26"/>
      <c r="CI47" s="26"/>
      <c r="CJ47" s="26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27"/>
      <c r="CW47" s="27"/>
      <c r="CX47" s="27"/>
      <c r="CY47" s="27"/>
      <c r="CZ47" s="28"/>
      <c r="DA47" s="28"/>
      <c r="DB47" s="28"/>
      <c r="DC47" s="28"/>
      <c r="DD47" s="28"/>
    </row>
    <row r="48" spans="76:108" x14ac:dyDescent="0.3">
      <c r="CA48" s="17"/>
      <c r="CB48" s="17"/>
      <c r="CC48" s="17"/>
      <c r="CD48" s="17"/>
      <c r="CE48" s="17"/>
      <c r="CF48" s="26"/>
      <c r="CG48" s="26"/>
      <c r="CH48" s="26"/>
      <c r="CI48" s="26"/>
      <c r="CJ48" s="26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27"/>
      <c r="CW48" s="27"/>
      <c r="CX48" s="27"/>
      <c r="CY48" s="27"/>
      <c r="CZ48" s="28"/>
      <c r="DA48" s="28"/>
      <c r="DB48" s="28"/>
      <c r="DC48" s="28"/>
      <c r="DD48" s="28"/>
    </row>
    <row r="49" spans="79:108" x14ac:dyDescent="0.3">
      <c r="CA49" s="17"/>
      <c r="CB49" s="17"/>
      <c r="CC49" s="17"/>
      <c r="CD49" s="17"/>
      <c r="CE49" s="17"/>
      <c r="CF49" s="26"/>
      <c r="CG49" s="26"/>
      <c r="CH49" s="26"/>
      <c r="CI49" s="26"/>
      <c r="CJ49" s="26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27"/>
      <c r="CW49" s="27"/>
      <c r="CX49" s="27"/>
      <c r="CY49" s="27"/>
      <c r="CZ49" s="28"/>
      <c r="DA49" s="28"/>
      <c r="DB49" s="28"/>
      <c r="DC49" s="28"/>
      <c r="DD49" s="28"/>
    </row>
    <row r="50" spans="79:108" x14ac:dyDescent="0.3">
      <c r="CA50" s="17"/>
      <c r="CB50" s="17"/>
      <c r="CC50" s="17"/>
      <c r="CD50" s="17"/>
      <c r="CE50" s="17"/>
      <c r="CF50" s="26"/>
      <c r="CG50" s="26"/>
      <c r="CH50" s="26"/>
      <c r="CI50" s="26"/>
      <c r="CJ50" s="26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27"/>
      <c r="CW50" s="27"/>
      <c r="CX50" s="27"/>
      <c r="CY50" s="27"/>
      <c r="CZ50" s="28"/>
      <c r="DA50" s="28"/>
      <c r="DB50" s="28"/>
      <c r="DC50" s="28"/>
      <c r="DD50" s="28"/>
    </row>
    <row r="51" spans="79:108" x14ac:dyDescent="0.3">
      <c r="CA51" s="17"/>
      <c r="CB51" s="17"/>
      <c r="CC51" s="17"/>
      <c r="CD51" s="17"/>
      <c r="CE51" s="17"/>
      <c r="CF51" s="26"/>
      <c r="CG51" s="26"/>
      <c r="CH51" s="26"/>
      <c r="CI51" s="26"/>
      <c r="CJ51" s="26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27"/>
      <c r="CW51" s="27"/>
      <c r="CX51" s="27"/>
      <c r="CY51" s="27"/>
      <c r="CZ51" s="28"/>
      <c r="DA51" s="28"/>
      <c r="DB51" s="28"/>
      <c r="DC51" s="28"/>
      <c r="DD51" s="28"/>
    </row>
    <row r="52" spans="79:108" x14ac:dyDescent="0.3">
      <c r="CA52" s="17"/>
      <c r="CB52" s="17"/>
      <c r="CC52" s="17"/>
      <c r="CD52" s="17"/>
      <c r="CE52" s="17"/>
      <c r="CF52" s="26"/>
      <c r="CG52" s="26"/>
      <c r="CH52" s="26"/>
      <c r="CI52" s="26"/>
      <c r="CJ52" s="26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27"/>
      <c r="CW52" s="27"/>
      <c r="CX52" s="27"/>
      <c r="CY52" s="27"/>
      <c r="CZ52" s="28"/>
      <c r="DA52" s="28"/>
      <c r="DB52" s="28"/>
      <c r="DC52" s="28"/>
      <c r="DD52" s="28"/>
    </row>
    <row r="53" spans="79:108" x14ac:dyDescent="0.3">
      <c r="CA53" s="17"/>
      <c r="CB53" s="17"/>
      <c r="CC53" s="17"/>
      <c r="CD53" s="17"/>
      <c r="CE53" s="17"/>
      <c r="CF53" s="26"/>
      <c r="CG53" s="26"/>
      <c r="CH53" s="26"/>
      <c r="CI53" s="26"/>
      <c r="CJ53" s="26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27"/>
      <c r="CW53" s="27"/>
      <c r="CX53" s="27"/>
      <c r="CY53" s="27"/>
      <c r="CZ53" s="28"/>
      <c r="DA53" s="28"/>
      <c r="DB53" s="28"/>
      <c r="DC53" s="28"/>
      <c r="DD53" s="28"/>
    </row>
    <row r="54" spans="79:108" x14ac:dyDescent="0.3">
      <c r="CA54" s="17"/>
      <c r="CB54" s="17"/>
      <c r="CC54" s="17"/>
      <c r="CD54" s="17"/>
      <c r="CE54" s="17"/>
      <c r="CF54" s="26"/>
      <c r="CG54" s="26"/>
      <c r="CH54" s="26"/>
      <c r="CI54" s="26"/>
      <c r="CJ54" s="26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27"/>
      <c r="CW54" s="27"/>
      <c r="CX54" s="27"/>
      <c r="CY54" s="27"/>
      <c r="CZ54" s="28"/>
      <c r="DA54" s="28"/>
      <c r="DB54" s="28"/>
      <c r="DC54" s="28"/>
      <c r="DD54" s="28"/>
    </row>
    <row r="55" spans="79:108" x14ac:dyDescent="0.3">
      <c r="CA55" s="17"/>
      <c r="CB55" s="17"/>
      <c r="CC55" s="17"/>
      <c r="CD55" s="17"/>
      <c r="CE55" s="17"/>
      <c r="CF55" s="26"/>
      <c r="CG55" s="26"/>
      <c r="CH55" s="26"/>
      <c r="CI55" s="26"/>
      <c r="CJ55" s="26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27"/>
      <c r="CW55" s="27"/>
      <c r="CX55" s="27"/>
      <c r="CY55" s="27"/>
      <c r="CZ55" s="28"/>
      <c r="DA55" s="28"/>
      <c r="DB55" s="28"/>
      <c r="DC55" s="28"/>
      <c r="DD55" s="28"/>
    </row>
    <row r="56" spans="79:108" x14ac:dyDescent="0.3">
      <c r="CA56" s="17"/>
      <c r="CB56" s="17"/>
      <c r="CC56" s="17"/>
      <c r="CD56" s="17"/>
      <c r="CE56" s="17"/>
      <c r="CF56" s="26"/>
      <c r="CG56" s="26"/>
      <c r="CH56" s="26"/>
      <c r="CI56" s="26"/>
      <c r="CJ56" s="26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27"/>
      <c r="CW56" s="27"/>
      <c r="CX56" s="27"/>
      <c r="CY56" s="27"/>
      <c r="CZ56" s="28"/>
      <c r="DA56" s="28"/>
      <c r="DB56" s="28"/>
      <c r="DC56" s="28"/>
      <c r="DD56" s="28"/>
    </row>
    <row r="57" spans="79:108" x14ac:dyDescent="0.3">
      <c r="CA57" s="17"/>
      <c r="CB57" s="17"/>
      <c r="CC57" s="17"/>
      <c r="CD57" s="17"/>
      <c r="CE57" s="17"/>
      <c r="CF57" s="26"/>
      <c r="CG57" s="26"/>
      <c r="CH57" s="26"/>
      <c r="CI57" s="26"/>
      <c r="CJ57" s="26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27"/>
      <c r="CW57" s="27"/>
      <c r="CX57" s="27"/>
      <c r="CY57" s="27"/>
      <c r="CZ57" s="28"/>
      <c r="DA57" s="28"/>
      <c r="DB57" s="28"/>
      <c r="DC57" s="28"/>
      <c r="DD57" s="28"/>
    </row>
    <row r="58" spans="79:108" x14ac:dyDescent="0.3">
      <c r="CA58" s="17"/>
      <c r="CB58" s="17"/>
      <c r="CC58" s="17"/>
      <c r="CD58" s="17"/>
      <c r="CE58" s="17"/>
      <c r="CF58" s="26"/>
      <c r="CG58" s="26"/>
      <c r="CH58" s="26"/>
      <c r="CI58" s="26"/>
      <c r="CJ58" s="26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27"/>
      <c r="CW58" s="27"/>
      <c r="CX58" s="27"/>
      <c r="CY58" s="27"/>
      <c r="CZ58" s="28"/>
      <c r="DA58" s="28"/>
      <c r="DB58" s="28"/>
      <c r="DC58" s="28"/>
      <c r="DD58" s="28"/>
    </row>
    <row r="59" spans="79:108" x14ac:dyDescent="0.3">
      <c r="CA59" s="17"/>
      <c r="CB59" s="17"/>
      <c r="CC59" s="17"/>
      <c r="CD59" s="17"/>
      <c r="CE59" s="17"/>
      <c r="CF59" s="26"/>
      <c r="CG59" s="26"/>
      <c r="CH59" s="26"/>
      <c r="CI59" s="26"/>
      <c r="CJ59" s="26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27"/>
      <c r="CW59" s="27"/>
      <c r="CX59" s="27"/>
      <c r="CY59" s="27"/>
      <c r="CZ59" s="28"/>
      <c r="DA59" s="28"/>
      <c r="DB59" s="28"/>
      <c r="DC59" s="28"/>
      <c r="DD59" s="28"/>
    </row>
    <row r="60" spans="79:108" x14ac:dyDescent="0.3">
      <c r="CA60" s="17"/>
      <c r="CB60" s="17"/>
      <c r="CC60" s="17"/>
      <c r="CD60" s="17"/>
      <c r="CE60" s="17"/>
      <c r="CF60" s="26"/>
      <c r="CG60" s="26"/>
      <c r="CH60" s="26"/>
      <c r="CI60" s="26"/>
      <c r="CJ60" s="26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27"/>
      <c r="CW60" s="27"/>
      <c r="CX60" s="27"/>
      <c r="CY60" s="27"/>
      <c r="CZ60" s="28"/>
      <c r="DA60" s="28"/>
      <c r="DB60" s="28"/>
      <c r="DC60" s="28"/>
      <c r="DD60" s="28"/>
    </row>
    <row r="61" spans="79:108" x14ac:dyDescent="0.3">
      <c r="CA61" s="17"/>
      <c r="CB61" s="17"/>
      <c r="CC61" s="17"/>
      <c r="CD61" s="17"/>
      <c r="CE61" s="17"/>
      <c r="CF61" s="26"/>
      <c r="CG61" s="26"/>
      <c r="CH61" s="26"/>
      <c r="CI61" s="26"/>
      <c r="CJ61" s="26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27"/>
      <c r="CW61" s="27"/>
      <c r="CX61" s="27"/>
      <c r="CY61" s="27"/>
      <c r="CZ61" s="28"/>
      <c r="DA61" s="28"/>
      <c r="DB61" s="28"/>
      <c r="DC61" s="28"/>
      <c r="DD61" s="28"/>
    </row>
    <row r="62" spans="79:108" x14ac:dyDescent="0.3">
      <c r="CA62" s="17"/>
      <c r="CB62" s="17"/>
      <c r="CC62" s="17"/>
      <c r="CD62" s="17"/>
      <c r="CE62" s="17"/>
      <c r="CF62" s="26"/>
      <c r="CG62" s="26"/>
      <c r="CH62" s="26"/>
      <c r="CI62" s="26"/>
      <c r="CJ62" s="26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27"/>
      <c r="CW62" s="27"/>
      <c r="CX62" s="27"/>
      <c r="CY62" s="27"/>
      <c r="CZ62" s="28"/>
      <c r="DA62" s="28"/>
      <c r="DB62" s="28"/>
      <c r="DC62" s="28"/>
      <c r="DD62" s="28"/>
    </row>
    <row r="63" spans="79:108" x14ac:dyDescent="0.3">
      <c r="CA63" s="17"/>
      <c r="CB63" s="17"/>
      <c r="CC63" s="17"/>
      <c r="CD63" s="17"/>
      <c r="CE63" s="17"/>
      <c r="CF63" s="26"/>
      <c r="CG63" s="26"/>
      <c r="CH63" s="26"/>
      <c r="CI63" s="26"/>
      <c r="CJ63" s="26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27"/>
      <c r="CW63" s="27"/>
      <c r="CX63" s="27"/>
      <c r="CY63" s="27"/>
      <c r="CZ63" s="28"/>
      <c r="DA63" s="28"/>
      <c r="DB63" s="28"/>
      <c r="DC63" s="28"/>
      <c r="DD63" s="28"/>
    </row>
    <row r="64" spans="79:108" x14ac:dyDescent="0.3">
      <c r="CA64" s="17"/>
      <c r="CB64" s="17"/>
      <c r="CC64" s="17"/>
      <c r="CD64" s="17"/>
      <c r="CE64" s="17"/>
      <c r="CF64" s="26"/>
      <c r="CG64" s="26"/>
      <c r="CH64" s="26"/>
      <c r="CI64" s="26"/>
      <c r="CJ64" s="26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27"/>
      <c r="CW64" s="27"/>
      <c r="CX64" s="27"/>
      <c r="CY64" s="27"/>
      <c r="CZ64" s="28"/>
      <c r="DA64" s="28"/>
      <c r="DB64" s="28"/>
      <c r="DC64" s="28"/>
      <c r="DD64" s="28"/>
    </row>
    <row r="65" spans="79:108" x14ac:dyDescent="0.3">
      <c r="CA65" s="17"/>
      <c r="CB65" s="17"/>
      <c r="CC65" s="17"/>
      <c r="CD65" s="17"/>
      <c r="CE65" s="17"/>
      <c r="CF65" s="26"/>
      <c r="CG65" s="26"/>
      <c r="CH65" s="26"/>
      <c r="CI65" s="26"/>
      <c r="CJ65" s="26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27"/>
      <c r="CW65" s="27"/>
      <c r="CX65" s="27"/>
      <c r="CY65" s="27"/>
      <c r="CZ65" s="28"/>
      <c r="DA65" s="28"/>
      <c r="DB65" s="28"/>
      <c r="DC65" s="28"/>
      <c r="DD65" s="28"/>
    </row>
    <row r="66" spans="79:108" x14ac:dyDescent="0.3">
      <c r="CA66" s="17"/>
      <c r="CB66" s="17"/>
      <c r="CC66" s="17"/>
      <c r="CD66" s="17"/>
      <c r="CE66" s="17"/>
      <c r="CF66" s="26"/>
      <c r="CG66" s="26"/>
      <c r="CH66" s="26"/>
      <c r="CI66" s="26"/>
      <c r="CJ66" s="26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27"/>
      <c r="CW66" s="27"/>
      <c r="CX66" s="27"/>
      <c r="CY66" s="27"/>
      <c r="CZ66" s="28"/>
      <c r="DA66" s="28"/>
      <c r="DB66" s="28"/>
      <c r="DC66" s="28"/>
      <c r="DD66" s="28"/>
    </row>
    <row r="67" spans="79:108" x14ac:dyDescent="0.3">
      <c r="CA67" s="17"/>
      <c r="CB67" s="17"/>
      <c r="CC67" s="17"/>
      <c r="CD67" s="17"/>
      <c r="CE67" s="17"/>
      <c r="CF67" s="26"/>
      <c r="CG67" s="26"/>
      <c r="CH67" s="26"/>
      <c r="CI67" s="26"/>
      <c r="CJ67" s="26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27"/>
      <c r="CW67" s="27"/>
      <c r="CX67" s="27"/>
      <c r="CY67" s="27"/>
      <c r="CZ67" s="28"/>
      <c r="DA67" s="28"/>
      <c r="DB67" s="28"/>
      <c r="DC67" s="28"/>
      <c r="DD67" s="28"/>
    </row>
    <row r="68" spans="79:108" x14ac:dyDescent="0.3">
      <c r="CA68" s="17"/>
      <c r="CB68" s="17"/>
      <c r="CC68" s="17"/>
      <c r="CD68" s="17"/>
      <c r="CE68" s="17"/>
      <c r="CF68" s="26"/>
      <c r="CG68" s="26"/>
      <c r="CH68" s="26"/>
      <c r="CI68" s="26"/>
      <c r="CJ68" s="26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27"/>
      <c r="CW68" s="27"/>
      <c r="CX68" s="27"/>
      <c r="CY68" s="27"/>
      <c r="CZ68" s="28"/>
      <c r="DA68" s="28"/>
      <c r="DB68" s="28"/>
      <c r="DC68" s="28"/>
      <c r="DD68" s="28"/>
    </row>
    <row r="69" spans="79:108" x14ac:dyDescent="0.3">
      <c r="CA69" s="17"/>
      <c r="CB69" s="17"/>
      <c r="CC69" s="17"/>
      <c r="CD69" s="17"/>
      <c r="CE69" s="17"/>
      <c r="CF69" s="26"/>
      <c r="CG69" s="26"/>
      <c r="CH69" s="26"/>
      <c r="CI69" s="26"/>
      <c r="CJ69" s="26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27"/>
      <c r="CW69" s="27"/>
      <c r="CX69" s="27"/>
      <c r="CY69" s="27"/>
      <c r="CZ69" s="28"/>
      <c r="DA69" s="28"/>
      <c r="DB69" s="28"/>
      <c r="DC69" s="28"/>
      <c r="DD69" s="28"/>
    </row>
    <row r="70" spans="79:108" x14ac:dyDescent="0.3">
      <c r="CA70" s="17"/>
      <c r="CB70" s="17"/>
      <c r="CC70" s="17"/>
      <c r="CD70" s="17"/>
      <c r="CE70" s="17"/>
      <c r="CF70" s="26"/>
      <c r="CG70" s="26"/>
      <c r="CH70" s="26"/>
      <c r="CI70" s="26"/>
      <c r="CJ70" s="26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27"/>
      <c r="CW70" s="27"/>
      <c r="CX70" s="27"/>
      <c r="CY70" s="27"/>
      <c r="CZ70" s="28"/>
      <c r="DA70" s="28"/>
      <c r="DB70" s="28"/>
      <c r="DC70" s="28"/>
      <c r="DD70" s="28"/>
    </row>
    <row r="71" spans="79:108" x14ac:dyDescent="0.3">
      <c r="CA71" s="17"/>
      <c r="CB71" s="17"/>
      <c r="CC71" s="17"/>
      <c r="CD71" s="17"/>
      <c r="CE71" s="17"/>
      <c r="CF71" s="26"/>
      <c r="CG71" s="26"/>
      <c r="CH71" s="26"/>
      <c r="CI71" s="26"/>
      <c r="CJ71" s="26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27"/>
      <c r="CW71" s="27"/>
      <c r="CX71" s="27"/>
      <c r="CY71" s="27"/>
      <c r="CZ71" s="28"/>
      <c r="DA71" s="28"/>
      <c r="DB71" s="28"/>
      <c r="DC71" s="28"/>
      <c r="DD71" s="28"/>
    </row>
    <row r="72" spans="79:108" x14ac:dyDescent="0.3">
      <c r="CA72" s="17"/>
      <c r="CB72" s="17"/>
      <c r="CC72" s="17"/>
      <c r="CD72" s="17"/>
      <c r="CE72" s="17"/>
      <c r="CF72" s="26"/>
      <c r="CG72" s="26"/>
      <c r="CH72" s="26"/>
      <c r="CI72" s="26"/>
      <c r="CJ72" s="26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27"/>
      <c r="CW72" s="27"/>
      <c r="CX72" s="27"/>
      <c r="CY72" s="27"/>
      <c r="CZ72" s="28"/>
      <c r="DA72" s="28"/>
      <c r="DB72" s="28"/>
      <c r="DC72" s="28"/>
      <c r="DD72" s="28"/>
    </row>
    <row r="73" spans="79:108" x14ac:dyDescent="0.3">
      <c r="CA73" s="17"/>
      <c r="CB73" s="17"/>
      <c r="CC73" s="17"/>
      <c r="CD73" s="17"/>
      <c r="CE73" s="17"/>
      <c r="CF73" s="26"/>
      <c r="CG73" s="26"/>
      <c r="CH73" s="26"/>
      <c r="CI73" s="26"/>
      <c r="CJ73" s="26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27"/>
      <c r="CW73" s="27"/>
      <c r="CX73" s="27"/>
      <c r="CY73" s="27"/>
      <c r="CZ73" s="28"/>
      <c r="DA73" s="28"/>
      <c r="DB73" s="28"/>
      <c r="DC73" s="28"/>
      <c r="DD73" s="28"/>
    </row>
    <row r="74" spans="79:108" x14ac:dyDescent="0.3">
      <c r="CA74" s="17"/>
      <c r="CB74" s="17"/>
      <c r="CC74" s="17"/>
      <c r="CD74" s="17"/>
      <c r="CE74" s="17"/>
      <c r="CF74" s="26"/>
      <c r="CG74" s="26"/>
      <c r="CH74" s="26"/>
      <c r="CI74" s="26"/>
      <c r="CJ74" s="26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27"/>
      <c r="CW74" s="27"/>
      <c r="CX74" s="27"/>
      <c r="CY74" s="27"/>
      <c r="CZ74" s="28"/>
      <c r="DA74" s="28"/>
      <c r="DB74" s="28"/>
      <c r="DC74" s="28"/>
      <c r="DD74" s="28"/>
    </row>
    <row r="75" spans="79:108" x14ac:dyDescent="0.3">
      <c r="CA75" s="17"/>
      <c r="CB75" s="17"/>
      <c r="CC75" s="17"/>
      <c r="CD75" s="17"/>
      <c r="CE75" s="17"/>
      <c r="CF75" s="26"/>
      <c r="CG75" s="26"/>
      <c r="CH75" s="26"/>
      <c r="CI75" s="26"/>
      <c r="CJ75" s="26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27"/>
      <c r="CW75" s="27"/>
      <c r="CX75" s="27"/>
      <c r="CY75" s="27"/>
      <c r="CZ75" s="28"/>
      <c r="DA75" s="28"/>
      <c r="DB75" s="28"/>
      <c r="DC75" s="28"/>
      <c r="DD75" s="28"/>
    </row>
    <row r="76" spans="79:108" x14ac:dyDescent="0.3">
      <c r="CA76" s="17"/>
      <c r="CB76" s="17"/>
      <c r="CC76" s="17"/>
      <c r="CD76" s="17"/>
      <c r="CE76" s="17"/>
      <c r="CF76" s="26"/>
      <c r="CG76" s="26"/>
      <c r="CH76" s="26"/>
      <c r="CI76" s="26"/>
      <c r="CJ76" s="26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27"/>
      <c r="CW76" s="27"/>
      <c r="CX76" s="27"/>
      <c r="CY76" s="27"/>
      <c r="CZ76" s="28"/>
      <c r="DA76" s="28"/>
      <c r="DB76" s="28"/>
      <c r="DC76" s="28"/>
      <c r="DD76" s="28"/>
    </row>
    <row r="77" spans="79:108" x14ac:dyDescent="0.3">
      <c r="CA77" s="17"/>
      <c r="CB77" s="17"/>
      <c r="CC77" s="17"/>
      <c r="CD77" s="17"/>
      <c r="CE77" s="17"/>
      <c r="CF77" s="26"/>
      <c r="CG77" s="26"/>
      <c r="CH77" s="26"/>
      <c r="CI77" s="26"/>
      <c r="CJ77" s="26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27"/>
      <c r="CW77" s="27"/>
      <c r="CX77" s="27"/>
      <c r="CY77" s="27"/>
      <c r="CZ77" s="28"/>
      <c r="DA77" s="28"/>
      <c r="DB77" s="28"/>
      <c r="DC77" s="28"/>
      <c r="DD77" s="28"/>
    </row>
    <row r="78" spans="79:108" x14ac:dyDescent="0.3">
      <c r="CA78" s="17"/>
      <c r="CB78" s="17"/>
      <c r="CC78" s="17"/>
      <c r="CD78" s="17"/>
      <c r="CE78" s="17"/>
      <c r="CF78" s="26"/>
      <c r="CG78" s="26"/>
      <c r="CH78" s="26"/>
      <c r="CI78" s="26"/>
      <c r="CJ78" s="26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27"/>
      <c r="CW78" s="27"/>
      <c r="CX78" s="27"/>
      <c r="CY78" s="27"/>
      <c r="CZ78" s="28"/>
      <c r="DA78" s="28"/>
      <c r="DB78" s="28"/>
      <c r="DC78" s="28"/>
      <c r="DD78" s="28"/>
    </row>
    <row r="79" spans="79:108" x14ac:dyDescent="0.3">
      <c r="CA79" s="17"/>
      <c r="CB79" s="17"/>
      <c r="CC79" s="17"/>
      <c r="CD79" s="17"/>
      <c r="CE79" s="17"/>
      <c r="CF79" s="26"/>
      <c r="CG79" s="26"/>
      <c r="CH79" s="26"/>
      <c r="CI79" s="26"/>
      <c r="CJ79" s="26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27"/>
      <c r="CW79" s="27"/>
      <c r="CX79" s="27"/>
      <c r="CY79" s="27"/>
      <c r="CZ79" s="28"/>
      <c r="DA79" s="28"/>
      <c r="DB79" s="28"/>
      <c r="DC79" s="28"/>
      <c r="DD79" s="28"/>
    </row>
    <row r="80" spans="79:108" x14ac:dyDescent="0.3">
      <c r="CA80" s="17"/>
      <c r="CB80" s="17"/>
      <c r="CC80" s="17"/>
      <c r="CD80" s="17"/>
      <c r="CE80" s="17"/>
      <c r="CF80" s="26"/>
      <c r="CG80" s="26"/>
      <c r="CH80" s="26"/>
      <c r="CI80" s="26"/>
      <c r="CJ80" s="26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27"/>
      <c r="CW80" s="27"/>
      <c r="CX80" s="27"/>
      <c r="CY80" s="27"/>
      <c r="CZ80" s="28"/>
      <c r="DA80" s="28"/>
      <c r="DB80" s="28"/>
      <c r="DC80" s="28"/>
      <c r="DD80" s="28"/>
    </row>
    <row r="81" spans="79:108" x14ac:dyDescent="0.3">
      <c r="CA81" s="17"/>
      <c r="CB81" s="17"/>
      <c r="CC81" s="17"/>
      <c r="CD81" s="17"/>
      <c r="CE81" s="17"/>
      <c r="CF81" s="26"/>
      <c r="CG81" s="26"/>
      <c r="CH81" s="26"/>
      <c r="CI81" s="26"/>
      <c r="CJ81" s="26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27"/>
      <c r="CW81" s="27"/>
      <c r="CX81" s="27"/>
      <c r="CY81" s="27"/>
      <c r="CZ81" s="28"/>
      <c r="DA81" s="28"/>
      <c r="DB81" s="28"/>
      <c r="DC81" s="28"/>
      <c r="DD81" s="28"/>
    </row>
    <row r="82" spans="79:108" x14ac:dyDescent="0.3">
      <c r="CA82" s="17"/>
      <c r="CB82" s="17"/>
      <c r="CC82" s="17"/>
      <c r="CD82" s="17"/>
      <c r="CE82" s="17"/>
      <c r="CF82" s="26"/>
      <c r="CG82" s="26"/>
      <c r="CH82" s="26"/>
      <c r="CI82" s="26"/>
      <c r="CJ82" s="26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27"/>
      <c r="CW82" s="27"/>
      <c r="CX82" s="27"/>
      <c r="CY82" s="27"/>
      <c r="CZ82" s="28"/>
      <c r="DA82" s="28"/>
      <c r="DB82" s="28"/>
      <c r="DC82" s="28"/>
      <c r="DD82" s="28"/>
    </row>
    <row r="83" spans="79:108" x14ac:dyDescent="0.3">
      <c r="CA83" s="17"/>
      <c r="CB83" s="17"/>
      <c r="CC83" s="17"/>
      <c r="CD83" s="17"/>
      <c r="CE83" s="17"/>
      <c r="CF83" s="26"/>
      <c r="CG83" s="26"/>
      <c r="CH83" s="26"/>
      <c r="CI83" s="26"/>
      <c r="CJ83" s="26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27"/>
      <c r="CW83" s="27"/>
      <c r="CX83" s="27"/>
      <c r="CY83" s="27"/>
      <c r="CZ83" s="28"/>
      <c r="DA83" s="28"/>
      <c r="DB83" s="28"/>
      <c r="DC83" s="28"/>
      <c r="DD83" s="28"/>
    </row>
    <row r="84" spans="79:108" x14ac:dyDescent="0.3">
      <c r="CA84" s="17"/>
      <c r="CB84" s="17"/>
      <c r="CC84" s="17"/>
      <c r="CD84" s="17"/>
      <c r="CE84" s="17"/>
      <c r="CF84" s="26"/>
      <c r="CG84" s="26"/>
      <c r="CH84" s="26"/>
      <c r="CI84" s="26"/>
      <c r="CJ84" s="26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27"/>
      <c r="CW84" s="27"/>
      <c r="CX84" s="27"/>
      <c r="CY84" s="27"/>
      <c r="CZ84" s="28"/>
      <c r="DA84" s="28"/>
      <c r="DB84" s="28"/>
      <c r="DC84" s="28"/>
      <c r="DD84" s="28"/>
    </row>
    <row r="85" spans="79:108" x14ac:dyDescent="0.3">
      <c r="CA85" s="17"/>
      <c r="CB85" s="17"/>
      <c r="CC85" s="17"/>
      <c r="CD85" s="17"/>
      <c r="CE85" s="17"/>
      <c r="CF85" s="26"/>
      <c r="CG85" s="26"/>
      <c r="CH85" s="26"/>
      <c r="CI85" s="26"/>
      <c r="CJ85" s="26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27"/>
      <c r="CW85" s="27"/>
      <c r="CX85" s="27"/>
      <c r="CY85" s="27"/>
      <c r="CZ85" s="28"/>
      <c r="DA85" s="28"/>
      <c r="DB85" s="28"/>
      <c r="DC85" s="28"/>
      <c r="DD85" s="28"/>
    </row>
    <row r="86" spans="79:108" x14ac:dyDescent="0.3">
      <c r="CA86" s="17"/>
      <c r="CB86" s="17"/>
      <c r="CC86" s="17"/>
      <c r="CD86" s="17"/>
      <c r="CE86" s="17"/>
      <c r="CF86" s="26"/>
      <c r="CG86" s="26"/>
      <c r="CH86" s="26"/>
      <c r="CI86" s="26"/>
      <c r="CJ86" s="26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27"/>
      <c r="CW86" s="27"/>
      <c r="CX86" s="27"/>
      <c r="CY86" s="27"/>
      <c r="CZ86" s="28"/>
      <c r="DA86" s="28"/>
      <c r="DB86" s="28"/>
      <c r="DC86" s="28"/>
      <c r="DD86" s="28"/>
    </row>
    <row r="87" spans="79:108" x14ac:dyDescent="0.3">
      <c r="CA87" s="17"/>
      <c r="CB87" s="17"/>
      <c r="CC87" s="17"/>
      <c r="CD87" s="17"/>
      <c r="CE87" s="17"/>
      <c r="CF87" s="26"/>
      <c r="CG87" s="26"/>
      <c r="CH87" s="26"/>
      <c r="CI87" s="26"/>
      <c r="CJ87" s="26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27"/>
      <c r="CW87" s="27"/>
      <c r="CX87" s="27"/>
      <c r="CY87" s="27"/>
      <c r="CZ87" s="28"/>
      <c r="DA87" s="28"/>
      <c r="DB87" s="28"/>
      <c r="DC87" s="28"/>
      <c r="DD87" s="28"/>
    </row>
    <row r="88" spans="79:108" x14ac:dyDescent="0.3">
      <c r="CA88" s="17"/>
      <c r="CB88" s="17"/>
      <c r="CC88" s="17"/>
      <c r="CD88" s="17"/>
      <c r="CE88" s="17"/>
      <c r="CF88" s="26"/>
      <c r="CG88" s="26"/>
      <c r="CH88" s="26"/>
      <c r="CI88" s="26"/>
      <c r="CJ88" s="26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27"/>
      <c r="CW88" s="27"/>
      <c r="CX88" s="27"/>
      <c r="CY88" s="27"/>
      <c r="CZ88" s="28"/>
      <c r="DA88" s="28"/>
      <c r="DB88" s="28"/>
      <c r="DC88" s="28"/>
      <c r="DD88" s="28"/>
    </row>
    <row r="89" spans="79:108" x14ac:dyDescent="0.3">
      <c r="CA89" s="17"/>
      <c r="CB89" s="17"/>
      <c r="CC89" s="17"/>
      <c r="CD89" s="17"/>
      <c r="CE89" s="17"/>
      <c r="CF89" s="26"/>
      <c r="CG89" s="26"/>
      <c r="CH89" s="26"/>
      <c r="CI89" s="26"/>
      <c r="CJ89" s="26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27"/>
      <c r="CW89" s="27"/>
      <c r="CX89" s="27"/>
      <c r="CY89" s="27"/>
      <c r="CZ89" s="28"/>
      <c r="DA89" s="28"/>
      <c r="DB89" s="28"/>
      <c r="DC89" s="28"/>
      <c r="DD89" s="28"/>
    </row>
    <row r="90" spans="79:108" x14ac:dyDescent="0.3">
      <c r="CA90" s="17"/>
      <c r="CB90" s="17"/>
      <c r="CC90" s="17"/>
      <c r="CD90" s="17"/>
      <c r="CE90" s="17"/>
      <c r="CF90" s="26"/>
      <c r="CG90" s="26"/>
      <c r="CH90" s="26"/>
      <c r="CI90" s="26"/>
      <c r="CJ90" s="26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27"/>
      <c r="CW90" s="27"/>
      <c r="CX90" s="27"/>
      <c r="CY90" s="27"/>
      <c r="CZ90" s="28"/>
      <c r="DA90" s="28"/>
      <c r="DB90" s="28"/>
      <c r="DC90" s="28"/>
      <c r="DD90" s="28"/>
    </row>
    <row r="91" spans="79:108" x14ac:dyDescent="0.3">
      <c r="CA91" s="17"/>
      <c r="CB91" s="17"/>
      <c r="CC91" s="17"/>
      <c r="CD91" s="17"/>
      <c r="CE91" s="17"/>
      <c r="CF91" s="26"/>
      <c r="CG91" s="26"/>
      <c r="CH91" s="26"/>
      <c r="CI91" s="26"/>
      <c r="CJ91" s="26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27"/>
      <c r="CW91" s="27"/>
      <c r="CX91" s="27"/>
      <c r="CY91" s="27"/>
      <c r="CZ91" s="28"/>
      <c r="DA91" s="28"/>
      <c r="DB91" s="28"/>
      <c r="DC91" s="28"/>
      <c r="DD91" s="28"/>
    </row>
    <row r="92" spans="79:108" x14ac:dyDescent="0.3">
      <c r="CA92" s="17"/>
      <c r="CB92" s="17"/>
      <c r="CC92" s="17"/>
      <c r="CD92" s="17"/>
      <c r="CE92" s="17"/>
      <c r="CF92" s="26"/>
      <c r="CG92" s="26"/>
      <c r="CH92" s="26"/>
      <c r="CI92" s="26"/>
      <c r="CJ92" s="26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27"/>
      <c r="CW92" s="27"/>
      <c r="CX92" s="27"/>
      <c r="CY92" s="27"/>
      <c r="CZ92" s="28"/>
      <c r="DA92" s="28"/>
      <c r="DB92" s="28"/>
      <c r="DC92" s="28"/>
      <c r="DD92" s="28"/>
    </row>
    <row r="93" spans="79:108" x14ac:dyDescent="0.3">
      <c r="CA93" s="17"/>
      <c r="CB93" s="17"/>
      <c r="CC93" s="17"/>
      <c r="CD93" s="17"/>
      <c r="CE93" s="17"/>
      <c r="CF93" s="26"/>
      <c r="CG93" s="26"/>
      <c r="CH93" s="26"/>
      <c r="CI93" s="26"/>
      <c r="CJ93" s="26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27"/>
      <c r="CW93" s="27"/>
      <c r="CX93" s="27"/>
      <c r="CY93" s="27"/>
      <c r="CZ93" s="28"/>
      <c r="DA93" s="28"/>
      <c r="DB93" s="28"/>
      <c r="DC93" s="28"/>
      <c r="DD93" s="28"/>
    </row>
    <row r="94" spans="79:108" x14ac:dyDescent="0.3">
      <c r="CA94" s="17"/>
      <c r="CB94" s="17"/>
      <c r="CC94" s="17"/>
      <c r="CD94" s="17"/>
      <c r="CE94" s="17"/>
      <c r="CF94" s="26"/>
      <c r="CG94" s="26"/>
      <c r="CH94" s="26"/>
      <c r="CI94" s="26"/>
      <c r="CJ94" s="26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27"/>
      <c r="CW94" s="27"/>
      <c r="CX94" s="27"/>
      <c r="CY94" s="27"/>
      <c r="CZ94" s="28"/>
      <c r="DA94" s="28"/>
      <c r="DB94" s="28"/>
      <c r="DC94" s="28"/>
      <c r="DD94" s="28"/>
    </row>
    <row r="95" spans="79:108" x14ac:dyDescent="0.3">
      <c r="CA95" s="17"/>
      <c r="CB95" s="17"/>
      <c r="CC95" s="17"/>
      <c r="CD95" s="17"/>
      <c r="CE95" s="17"/>
      <c r="CF95" s="26"/>
      <c r="CG95" s="26"/>
      <c r="CH95" s="26"/>
      <c r="CI95" s="26"/>
      <c r="CJ95" s="26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27"/>
      <c r="CW95" s="27"/>
      <c r="CX95" s="27"/>
      <c r="CY95" s="27"/>
      <c r="CZ95" s="28"/>
      <c r="DA95" s="28"/>
      <c r="DB95" s="28"/>
      <c r="DC95" s="28"/>
      <c r="DD95" s="28"/>
    </row>
  </sheetData>
  <sheetProtection autoFilter="0"/>
  <mergeCells count="600">
    <mergeCell ref="CZ95:DD95"/>
    <mergeCell ref="CA95:CB95"/>
    <mergeCell ref="CC95:CE95"/>
    <mergeCell ref="CF95:CJ95"/>
    <mergeCell ref="CK95:CN95"/>
    <mergeCell ref="CO95:CU95"/>
    <mergeCell ref="CV95:CY95"/>
    <mergeCell ref="CZ93:DD93"/>
    <mergeCell ref="CA94:CB94"/>
    <mergeCell ref="CC94:CE94"/>
    <mergeCell ref="CF94:CJ94"/>
    <mergeCell ref="CK94:CN94"/>
    <mergeCell ref="CO94:CU94"/>
    <mergeCell ref="CV94:CY94"/>
    <mergeCell ref="CZ94:DD94"/>
    <mergeCell ref="CA93:CB93"/>
    <mergeCell ref="CC93:CE93"/>
    <mergeCell ref="CF93:CJ93"/>
    <mergeCell ref="CK93:CN93"/>
    <mergeCell ref="CO93:CU93"/>
    <mergeCell ref="CV93:CY93"/>
    <mergeCell ref="CZ91:DD91"/>
    <mergeCell ref="CA92:CB92"/>
    <mergeCell ref="CC92:CE92"/>
    <mergeCell ref="CF92:CJ92"/>
    <mergeCell ref="CK92:CN92"/>
    <mergeCell ref="CO92:CU92"/>
    <mergeCell ref="CV92:CY92"/>
    <mergeCell ref="CZ92:DD92"/>
    <mergeCell ref="CA91:CB91"/>
    <mergeCell ref="CC91:CE91"/>
    <mergeCell ref="CF91:CJ91"/>
    <mergeCell ref="CK91:CN91"/>
    <mergeCell ref="CO91:CU91"/>
    <mergeCell ref="CV91:CY91"/>
    <mergeCell ref="CZ89:DD89"/>
    <mergeCell ref="CA90:CB90"/>
    <mergeCell ref="CC90:CE90"/>
    <mergeCell ref="CF90:CJ90"/>
    <mergeCell ref="CK90:CN90"/>
    <mergeCell ref="CO90:CU90"/>
    <mergeCell ref="CV90:CY90"/>
    <mergeCell ref="CZ90:DD90"/>
    <mergeCell ref="CA89:CB89"/>
    <mergeCell ref="CC89:CE89"/>
    <mergeCell ref="CF89:CJ89"/>
    <mergeCell ref="CK89:CN89"/>
    <mergeCell ref="CO89:CU89"/>
    <mergeCell ref="CV89:CY89"/>
    <mergeCell ref="CZ87:DD87"/>
    <mergeCell ref="CA88:CB88"/>
    <mergeCell ref="CC88:CE88"/>
    <mergeCell ref="CF88:CJ88"/>
    <mergeCell ref="CK88:CN88"/>
    <mergeCell ref="CO88:CU88"/>
    <mergeCell ref="CV88:CY88"/>
    <mergeCell ref="CZ88:DD88"/>
    <mergeCell ref="CA87:CB87"/>
    <mergeCell ref="CC87:CE87"/>
    <mergeCell ref="CF87:CJ87"/>
    <mergeCell ref="CK87:CN87"/>
    <mergeCell ref="CO87:CU87"/>
    <mergeCell ref="CV87:CY87"/>
    <mergeCell ref="CZ85:DD85"/>
    <mergeCell ref="CA86:CB86"/>
    <mergeCell ref="CC86:CE86"/>
    <mergeCell ref="CF86:CJ86"/>
    <mergeCell ref="CK86:CN86"/>
    <mergeCell ref="CO86:CU86"/>
    <mergeCell ref="CV86:CY86"/>
    <mergeCell ref="CZ86:DD86"/>
    <mergeCell ref="CA85:CB85"/>
    <mergeCell ref="CC85:CE85"/>
    <mergeCell ref="CF85:CJ85"/>
    <mergeCell ref="CK85:CN85"/>
    <mergeCell ref="CO85:CU85"/>
    <mergeCell ref="CV85:CY85"/>
    <mergeCell ref="CZ83:DD83"/>
    <mergeCell ref="CA84:CB84"/>
    <mergeCell ref="CC84:CE84"/>
    <mergeCell ref="CF84:CJ84"/>
    <mergeCell ref="CK84:CN84"/>
    <mergeCell ref="CO84:CU84"/>
    <mergeCell ref="CV84:CY84"/>
    <mergeCell ref="CZ84:DD84"/>
    <mergeCell ref="CA83:CB83"/>
    <mergeCell ref="CC83:CE83"/>
    <mergeCell ref="CF83:CJ83"/>
    <mergeCell ref="CK83:CN83"/>
    <mergeCell ref="CO83:CU83"/>
    <mergeCell ref="CV83:CY83"/>
    <mergeCell ref="CZ81:DD81"/>
    <mergeCell ref="CA82:CB82"/>
    <mergeCell ref="CC82:CE82"/>
    <mergeCell ref="CF82:CJ82"/>
    <mergeCell ref="CK82:CN82"/>
    <mergeCell ref="CO82:CU82"/>
    <mergeCell ref="CV82:CY82"/>
    <mergeCell ref="CZ82:DD82"/>
    <mergeCell ref="CA81:CB81"/>
    <mergeCell ref="CC81:CE81"/>
    <mergeCell ref="CF81:CJ81"/>
    <mergeCell ref="CK81:CN81"/>
    <mergeCell ref="CO81:CU81"/>
    <mergeCell ref="CV81:CY81"/>
    <mergeCell ref="CZ79:DD79"/>
    <mergeCell ref="CA80:CB80"/>
    <mergeCell ref="CC80:CE80"/>
    <mergeCell ref="CF80:CJ80"/>
    <mergeCell ref="CK80:CN80"/>
    <mergeCell ref="CO80:CU80"/>
    <mergeCell ref="CV80:CY80"/>
    <mergeCell ref="CZ80:DD80"/>
    <mergeCell ref="CA79:CB79"/>
    <mergeCell ref="CC79:CE79"/>
    <mergeCell ref="CF79:CJ79"/>
    <mergeCell ref="CK79:CN79"/>
    <mergeCell ref="CO79:CU79"/>
    <mergeCell ref="CV79:CY79"/>
    <mergeCell ref="CZ77:DD77"/>
    <mergeCell ref="CA78:CB78"/>
    <mergeCell ref="CC78:CE78"/>
    <mergeCell ref="CF78:CJ78"/>
    <mergeCell ref="CK78:CN78"/>
    <mergeCell ref="CO78:CU78"/>
    <mergeCell ref="CV78:CY78"/>
    <mergeCell ref="CZ78:DD78"/>
    <mergeCell ref="CA77:CB77"/>
    <mergeCell ref="CC77:CE77"/>
    <mergeCell ref="CF77:CJ77"/>
    <mergeCell ref="CK77:CN77"/>
    <mergeCell ref="CO77:CU77"/>
    <mergeCell ref="CV77:CY77"/>
    <mergeCell ref="CZ75:DD75"/>
    <mergeCell ref="CA76:CB76"/>
    <mergeCell ref="CC76:CE76"/>
    <mergeCell ref="CF76:CJ76"/>
    <mergeCell ref="CK76:CN76"/>
    <mergeCell ref="CO76:CU76"/>
    <mergeCell ref="CV76:CY76"/>
    <mergeCell ref="CZ76:DD76"/>
    <mergeCell ref="CA75:CB75"/>
    <mergeCell ref="CC75:CE75"/>
    <mergeCell ref="CF75:CJ75"/>
    <mergeCell ref="CK75:CN75"/>
    <mergeCell ref="CO75:CU75"/>
    <mergeCell ref="CV75:CY75"/>
    <mergeCell ref="CZ73:DD73"/>
    <mergeCell ref="CA74:CB74"/>
    <mergeCell ref="CC74:CE74"/>
    <mergeCell ref="CF74:CJ74"/>
    <mergeCell ref="CK74:CN74"/>
    <mergeCell ref="CO74:CU74"/>
    <mergeCell ref="CV74:CY74"/>
    <mergeCell ref="CZ74:DD74"/>
    <mergeCell ref="CA73:CB73"/>
    <mergeCell ref="CC73:CE73"/>
    <mergeCell ref="CF73:CJ73"/>
    <mergeCell ref="CK73:CN73"/>
    <mergeCell ref="CO73:CU73"/>
    <mergeCell ref="CV73:CY73"/>
    <mergeCell ref="CZ71:DD71"/>
    <mergeCell ref="CA72:CB72"/>
    <mergeCell ref="CC72:CE72"/>
    <mergeCell ref="CF72:CJ72"/>
    <mergeCell ref="CK72:CN72"/>
    <mergeCell ref="CO72:CU72"/>
    <mergeCell ref="CV72:CY72"/>
    <mergeCell ref="CZ72:DD72"/>
    <mergeCell ref="CA71:CB71"/>
    <mergeCell ref="CC71:CE71"/>
    <mergeCell ref="CF71:CJ71"/>
    <mergeCell ref="CK71:CN71"/>
    <mergeCell ref="CO71:CU71"/>
    <mergeCell ref="CV71:CY71"/>
    <mergeCell ref="CZ69:DD69"/>
    <mergeCell ref="CA70:CB70"/>
    <mergeCell ref="CC70:CE70"/>
    <mergeCell ref="CF70:CJ70"/>
    <mergeCell ref="CK70:CN70"/>
    <mergeCell ref="CO70:CU70"/>
    <mergeCell ref="CV70:CY70"/>
    <mergeCell ref="CZ70:DD70"/>
    <mergeCell ref="CA69:CB69"/>
    <mergeCell ref="CC69:CE69"/>
    <mergeCell ref="CF69:CJ69"/>
    <mergeCell ref="CK69:CN69"/>
    <mergeCell ref="CO69:CU69"/>
    <mergeCell ref="CV69:CY69"/>
    <mergeCell ref="CZ67:DD67"/>
    <mergeCell ref="CA68:CB68"/>
    <mergeCell ref="CC68:CE68"/>
    <mergeCell ref="CF68:CJ68"/>
    <mergeCell ref="CK68:CN68"/>
    <mergeCell ref="CO68:CU68"/>
    <mergeCell ref="CV68:CY68"/>
    <mergeCell ref="CZ68:DD68"/>
    <mergeCell ref="CA67:CB67"/>
    <mergeCell ref="CC67:CE67"/>
    <mergeCell ref="CF67:CJ67"/>
    <mergeCell ref="CK67:CN67"/>
    <mergeCell ref="CO67:CU67"/>
    <mergeCell ref="CV67:CY67"/>
    <mergeCell ref="CZ65:DD65"/>
    <mergeCell ref="CA66:CB66"/>
    <mergeCell ref="CC66:CE66"/>
    <mergeCell ref="CF66:CJ66"/>
    <mergeCell ref="CK66:CN66"/>
    <mergeCell ref="CO66:CU66"/>
    <mergeCell ref="CV66:CY66"/>
    <mergeCell ref="CZ66:DD66"/>
    <mergeCell ref="CA65:CB65"/>
    <mergeCell ref="CC65:CE65"/>
    <mergeCell ref="CF65:CJ65"/>
    <mergeCell ref="CK65:CN65"/>
    <mergeCell ref="CO65:CU65"/>
    <mergeCell ref="CV65:CY65"/>
    <mergeCell ref="CZ63:DD63"/>
    <mergeCell ref="CA64:CB64"/>
    <mergeCell ref="CC64:CE64"/>
    <mergeCell ref="CF64:CJ64"/>
    <mergeCell ref="CK64:CN64"/>
    <mergeCell ref="CO64:CU64"/>
    <mergeCell ref="CV64:CY64"/>
    <mergeCell ref="CZ64:DD64"/>
    <mergeCell ref="CA63:CB63"/>
    <mergeCell ref="CC63:CE63"/>
    <mergeCell ref="CF63:CJ63"/>
    <mergeCell ref="CK63:CN63"/>
    <mergeCell ref="CO63:CU63"/>
    <mergeCell ref="CV63:CY63"/>
    <mergeCell ref="CZ61:DD61"/>
    <mergeCell ref="CA62:CB62"/>
    <mergeCell ref="CC62:CE62"/>
    <mergeCell ref="CF62:CJ62"/>
    <mergeCell ref="CK62:CN62"/>
    <mergeCell ref="CO62:CU62"/>
    <mergeCell ref="CV62:CY62"/>
    <mergeCell ref="CZ62:DD62"/>
    <mergeCell ref="CA61:CB61"/>
    <mergeCell ref="CC61:CE61"/>
    <mergeCell ref="CF61:CJ61"/>
    <mergeCell ref="CK61:CN61"/>
    <mergeCell ref="CO61:CU61"/>
    <mergeCell ref="CV61:CY61"/>
    <mergeCell ref="CZ59:DD59"/>
    <mergeCell ref="CA60:CB60"/>
    <mergeCell ref="CC60:CE60"/>
    <mergeCell ref="CF60:CJ60"/>
    <mergeCell ref="CK60:CN60"/>
    <mergeCell ref="CO60:CU60"/>
    <mergeCell ref="CV60:CY60"/>
    <mergeCell ref="CZ60:DD60"/>
    <mergeCell ref="CA59:CB59"/>
    <mergeCell ref="CC59:CE59"/>
    <mergeCell ref="CF59:CJ59"/>
    <mergeCell ref="CK59:CN59"/>
    <mergeCell ref="CO59:CU59"/>
    <mergeCell ref="CV59:CY59"/>
    <mergeCell ref="CZ57:DD57"/>
    <mergeCell ref="CA58:CB58"/>
    <mergeCell ref="CC58:CE58"/>
    <mergeCell ref="CF58:CJ58"/>
    <mergeCell ref="CK58:CN58"/>
    <mergeCell ref="CO58:CU58"/>
    <mergeCell ref="CV58:CY58"/>
    <mergeCell ref="CZ58:DD58"/>
    <mergeCell ref="CA57:CB57"/>
    <mergeCell ref="CC57:CE57"/>
    <mergeCell ref="CF57:CJ57"/>
    <mergeCell ref="CK57:CN57"/>
    <mergeCell ref="CO57:CU57"/>
    <mergeCell ref="CV57:CY57"/>
    <mergeCell ref="CZ55:DD55"/>
    <mergeCell ref="CA56:CB56"/>
    <mergeCell ref="CC56:CE56"/>
    <mergeCell ref="CF56:CJ56"/>
    <mergeCell ref="CK56:CN56"/>
    <mergeCell ref="CO56:CU56"/>
    <mergeCell ref="CV56:CY56"/>
    <mergeCell ref="CZ56:DD56"/>
    <mergeCell ref="CA55:CB55"/>
    <mergeCell ref="CC55:CE55"/>
    <mergeCell ref="CF55:CJ55"/>
    <mergeCell ref="CK55:CN55"/>
    <mergeCell ref="CO55:CU55"/>
    <mergeCell ref="CV55:CY55"/>
    <mergeCell ref="CZ53:DD53"/>
    <mergeCell ref="CA54:CB54"/>
    <mergeCell ref="CC54:CE54"/>
    <mergeCell ref="CF54:CJ54"/>
    <mergeCell ref="CK54:CN54"/>
    <mergeCell ref="CO54:CU54"/>
    <mergeCell ref="CV54:CY54"/>
    <mergeCell ref="CZ54:DD54"/>
    <mergeCell ref="CA53:CB53"/>
    <mergeCell ref="CC53:CE53"/>
    <mergeCell ref="CF53:CJ53"/>
    <mergeCell ref="CK53:CN53"/>
    <mergeCell ref="CO53:CU53"/>
    <mergeCell ref="CV53:CY53"/>
    <mergeCell ref="CZ51:DD51"/>
    <mergeCell ref="CA52:CB52"/>
    <mergeCell ref="CC52:CE52"/>
    <mergeCell ref="CF52:CJ52"/>
    <mergeCell ref="CK52:CN52"/>
    <mergeCell ref="CO52:CU52"/>
    <mergeCell ref="CV52:CY52"/>
    <mergeCell ref="CZ52:DD52"/>
    <mergeCell ref="CA51:CB51"/>
    <mergeCell ref="CC51:CE51"/>
    <mergeCell ref="CF51:CJ51"/>
    <mergeCell ref="CK51:CN51"/>
    <mergeCell ref="CO51:CU51"/>
    <mergeCell ref="CV51:CY51"/>
    <mergeCell ref="CZ49:DD49"/>
    <mergeCell ref="CA50:CB50"/>
    <mergeCell ref="CC50:CE50"/>
    <mergeCell ref="CF50:CJ50"/>
    <mergeCell ref="CK50:CN50"/>
    <mergeCell ref="CO50:CU50"/>
    <mergeCell ref="CV50:CY50"/>
    <mergeCell ref="CZ50:DD50"/>
    <mergeCell ref="CA49:CB49"/>
    <mergeCell ref="CC49:CE49"/>
    <mergeCell ref="CF49:CJ49"/>
    <mergeCell ref="CK49:CN49"/>
    <mergeCell ref="CO49:CU49"/>
    <mergeCell ref="CV49:CY49"/>
    <mergeCell ref="CZ47:DD47"/>
    <mergeCell ref="CA48:CB48"/>
    <mergeCell ref="CC48:CE48"/>
    <mergeCell ref="CF48:CJ48"/>
    <mergeCell ref="CK48:CN48"/>
    <mergeCell ref="CO48:CU48"/>
    <mergeCell ref="CV48:CY48"/>
    <mergeCell ref="CZ48:DD48"/>
    <mergeCell ref="CA47:CB47"/>
    <mergeCell ref="CC47:CE47"/>
    <mergeCell ref="CF47:CJ47"/>
    <mergeCell ref="CK47:CN47"/>
    <mergeCell ref="CO47:CU47"/>
    <mergeCell ref="CV47:CY47"/>
    <mergeCell ref="CZ45:DD45"/>
    <mergeCell ref="CA46:CB46"/>
    <mergeCell ref="CC46:CE46"/>
    <mergeCell ref="CF46:CJ46"/>
    <mergeCell ref="CK46:CN46"/>
    <mergeCell ref="CO46:CU46"/>
    <mergeCell ref="CV46:CY46"/>
    <mergeCell ref="CZ46:DD46"/>
    <mergeCell ref="CA45:CB45"/>
    <mergeCell ref="CC45:CE45"/>
    <mergeCell ref="CF45:CJ45"/>
    <mergeCell ref="CK45:CN45"/>
    <mergeCell ref="CO45:CU45"/>
    <mergeCell ref="CV45:CY45"/>
    <mergeCell ref="CZ43:DD43"/>
    <mergeCell ref="CA44:CB44"/>
    <mergeCell ref="CC44:CE44"/>
    <mergeCell ref="CF44:CJ44"/>
    <mergeCell ref="CK44:CN44"/>
    <mergeCell ref="CO44:CU44"/>
    <mergeCell ref="CV44:CY44"/>
    <mergeCell ref="CZ44:DD44"/>
    <mergeCell ref="CA43:CB43"/>
    <mergeCell ref="CC43:CE43"/>
    <mergeCell ref="CF43:CJ43"/>
    <mergeCell ref="CK43:CN43"/>
    <mergeCell ref="CO43:CU43"/>
    <mergeCell ref="CV43:CY43"/>
    <mergeCell ref="CZ41:DD41"/>
    <mergeCell ref="CA42:CB42"/>
    <mergeCell ref="CC42:CE42"/>
    <mergeCell ref="CF42:CJ42"/>
    <mergeCell ref="CK42:CN42"/>
    <mergeCell ref="CO42:CU42"/>
    <mergeCell ref="CV42:CY42"/>
    <mergeCell ref="CZ42:DD42"/>
    <mergeCell ref="CA41:CB41"/>
    <mergeCell ref="CC41:CE41"/>
    <mergeCell ref="CF41:CJ41"/>
    <mergeCell ref="CK41:CN41"/>
    <mergeCell ref="CO41:CU41"/>
    <mergeCell ref="CV41:CY41"/>
    <mergeCell ref="CZ39:DD39"/>
    <mergeCell ref="CA40:CB40"/>
    <mergeCell ref="CC40:CE40"/>
    <mergeCell ref="CF40:CJ40"/>
    <mergeCell ref="CK40:CN40"/>
    <mergeCell ref="CO40:CU40"/>
    <mergeCell ref="CV40:CY40"/>
    <mergeCell ref="CZ40:DD40"/>
    <mergeCell ref="CA39:CB39"/>
    <mergeCell ref="CC39:CE39"/>
    <mergeCell ref="CF39:CJ39"/>
    <mergeCell ref="CK39:CN39"/>
    <mergeCell ref="CO39:CU39"/>
    <mergeCell ref="CV39:CY39"/>
    <mergeCell ref="CZ37:DD37"/>
    <mergeCell ref="CA38:CB38"/>
    <mergeCell ref="CC38:CE38"/>
    <mergeCell ref="CF38:CJ38"/>
    <mergeCell ref="CK38:CN38"/>
    <mergeCell ref="CO38:CU38"/>
    <mergeCell ref="CV38:CY38"/>
    <mergeCell ref="CZ38:DD38"/>
    <mergeCell ref="CZ35:DD35"/>
    <mergeCell ref="CA36:CU36"/>
    <mergeCell ref="CV36:CY36"/>
    <mergeCell ref="CZ36:DD36"/>
    <mergeCell ref="CA37:CB37"/>
    <mergeCell ref="CC37:CE37"/>
    <mergeCell ref="CF37:CJ37"/>
    <mergeCell ref="CK37:CN37"/>
    <mergeCell ref="CO37:CU37"/>
    <mergeCell ref="CV37:CY37"/>
    <mergeCell ref="CA35:CB35"/>
    <mergeCell ref="CC35:CE35"/>
    <mergeCell ref="CF35:CJ35"/>
    <mergeCell ref="CK35:CN35"/>
    <mergeCell ref="CO35:CU35"/>
    <mergeCell ref="CV35:CY35"/>
    <mergeCell ref="CZ33:DD33"/>
    <mergeCell ref="CA34:CB34"/>
    <mergeCell ref="CC34:CE34"/>
    <mergeCell ref="CF34:CJ34"/>
    <mergeCell ref="CK34:CN34"/>
    <mergeCell ref="CO34:CU34"/>
    <mergeCell ref="CV34:CY34"/>
    <mergeCell ref="CZ34:DD34"/>
    <mergeCell ref="CA33:CB33"/>
    <mergeCell ref="CC33:CE33"/>
    <mergeCell ref="CF33:CJ33"/>
    <mergeCell ref="CK33:CN33"/>
    <mergeCell ref="CO33:CU33"/>
    <mergeCell ref="CV33:CY33"/>
    <mergeCell ref="CZ31:DD31"/>
    <mergeCell ref="CA32:CB32"/>
    <mergeCell ref="CC32:CE32"/>
    <mergeCell ref="CF32:CJ32"/>
    <mergeCell ref="CK32:CN32"/>
    <mergeCell ref="CO32:CU32"/>
    <mergeCell ref="CV32:CY32"/>
    <mergeCell ref="CZ32:DD32"/>
    <mergeCell ref="CA31:CB31"/>
    <mergeCell ref="CC31:CE31"/>
    <mergeCell ref="CF31:CJ31"/>
    <mergeCell ref="CK31:CN31"/>
    <mergeCell ref="CO31:CU31"/>
    <mergeCell ref="CV31:CY31"/>
    <mergeCell ref="CA30:CB30"/>
    <mergeCell ref="CC30:CE30"/>
    <mergeCell ref="CF30:CJ30"/>
    <mergeCell ref="CK30:CN30"/>
    <mergeCell ref="CO30:CU30"/>
    <mergeCell ref="CV30:CY30"/>
    <mergeCell ref="CZ30:DD30"/>
    <mergeCell ref="CZ29:DD29"/>
    <mergeCell ref="CA29:CB29"/>
    <mergeCell ref="CC29:CE29"/>
    <mergeCell ref="CF29:CJ29"/>
    <mergeCell ref="CK29:CN29"/>
    <mergeCell ref="CO29:CU29"/>
    <mergeCell ref="CV29:CY29"/>
    <mergeCell ref="CZ27:DD27"/>
    <mergeCell ref="CA28:CB28"/>
    <mergeCell ref="CC28:CE28"/>
    <mergeCell ref="CF28:CJ28"/>
    <mergeCell ref="CK28:CN28"/>
    <mergeCell ref="CO28:CU28"/>
    <mergeCell ref="CV28:CY28"/>
    <mergeCell ref="CZ28:DD28"/>
    <mergeCell ref="CA27:CB27"/>
    <mergeCell ref="CC27:CE27"/>
    <mergeCell ref="CF27:CJ27"/>
    <mergeCell ref="CK27:CN27"/>
    <mergeCell ref="CO27:CU27"/>
    <mergeCell ref="CV27:CY27"/>
    <mergeCell ref="CZ25:DD25"/>
    <mergeCell ref="CA26:CB26"/>
    <mergeCell ref="CC26:CE26"/>
    <mergeCell ref="CF26:CJ26"/>
    <mergeCell ref="CK26:CN26"/>
    <mergeCell ref="CO26:CU26"/>
    <mergeCell ref="CV26:CY26"/>
    <mergeCell ref="CZ26:DD26"/>
    <mergeCell ref="CA25:CB25"/>
    <mergeCell ref="CC25:CE25"/>
    <mergeCell ref="CF25:CJ25"/>
    <mergeCell ref="CK25:CN25"/>
    <mergeCell ref="CO25:CU25"/>
    <mergeCell ref="CV25:CY25"/>
    <mergeCell ref="CZ23:DD23"/>
    <mergeCell ref="CA24:CB24"/>
    <mergeCell ref="CC24:CE24"/>
    <mergeCell ref="CF24:CJ24"/>
    <mergeCell ref="CK24:CN24"/>
    <mergeCell ref="CO24:CU24"/>
    <mergeCell ref="CV24:CY24"/>
    <mergeCell ref="CZ24:DD24"/>
    <mergeCell ref="CA23:CB23"/>
    <mergeCell ref="CC23:CE23"/>
    <mergeCell ref="CF23:CJ23"/>
    <mergeCell ref="CK23:CN23"/>
    <mergeCell ref="CO23:CU23"/>
    <mergeCell ref="CV23:CY23"/>
    <mergeCell ref="CZ21:DD21"/>
    <mergeCell ref="CA22:CB22"/>
    <mergeCell ref="CC22:CE22"/>
    <mergeCell ref="CF22:CJ22"/>
    <mergeCell ref="CK22:CN22"/>
    <mergeCell ref="CO22:CU22"/>
    <mergeCell ref="CV22:CY22"/>
    <mergeCell ref="CZ22:DD22"/>
    <mergeCell ref="CA21:CB21"/>
    <mergeCell ref="CC21:CE21"/>
    <mergeCell ref="CF21:CJ21"/>
    <mergeCell ref="CK21:CN21"/>
    <mergeCell ref="CO21:CU21"/>
    <mergeCell ref="CV21:CY21"/>
    <mergeCell ref="CZ19:DD19"/>
    <mergeCell ref="CA20:CB20"/>
    <mergeCell ref="CC20:CE20"/>
    <mergeCell ref="CF20:CJ20"/>
    <mergeCell ref="CK20:CN20"/>
    <mergeCell ref="CO20:CU20"/>
    <mergeCell ref="CV20:CY20"/>
    <mergeCell ref="CZ20:DD20"/>
    <mergeCell ref="CA19:CB19"/>
    <mergeCell ref="CC19:CE19"/>
    <mergeCell ref="CF19:CJ19"/>
    <mergeCell ref="CK19:CN19"/>
    <mergeCell ref="CO19:CU19"/>
    <mergeCell ref="CV19:CY19"/>
    <mergeCell ref="CZ17:DD17"/>
    <mergeCell ref="CA18:CB18"/>
    <mergeCell ref="CC18:CE18"/>
    <mergeCell ref="CF18:CJ18"/>
    <mergeCell ref="CK18:CN18"/>
    <mergeCell ref="CO18:CU18"/>
    <mergeCell ref="CV18:CY18"/>
    <mergeCell ref="CZ18:DD18"/>
    <mergeCell ref="CA17:CB17"/>
    <mergeCell ref="CC17:CE17"/>
    <mergeCell ref="CF17:CJ17"/>
    <mergeCell ref="CK17:CN17"/>
    <mergeCell ref="CO17:CU17"/>
    <mergeCell ref="CV17:CY17"/>
    <mergeCell ref="CZ15:DD15"/>
    <mergeCell ref="CA16:CB16"/>
    <mergeCell ref="CC16:CE16"/>
    <mergeCell ref="CF16:CJ16"/>
    <mergeCell ref="CK16:CN16"/>
    <mergeCell ref="CO16:CU16"/>
    <mergeCell ref="CV16:CY16"/>
    <mergeCell ref="CZ16:DD16"/>
    <mergeCell ref="CA15:CB15"/>
    <mergeCell ref="CC15:CE15"/>
    <mergeCell ref="CF15:CJ15"/>
    <mergeCell ref="CK15:CN15"/>
    <mergeCell ref="CO15:CU15"/>
    <mergeCell ref="CV15:CY15"/>
    <mergeCell ref="CZ13:DD13"/>
    <mergeCell ref="CA14:CB14"/>
    <mergeCell ref="CC14:CE14"/>
    <mergeCell ref="CF14:CJ14"/>
    <mergeCell ref="CK14:CN14"/>
    <mergeCell ref="CO14:CU14"/>
    <mergeCell ref="CV14:CY14"/>
    <mergeCell ref="CZ14:DD14"/>
    <mergeCell ref="CA13:CB13"/>
    <mergeCell ref="CC13:CE13"/>
    <mergeCell ref="CF13:CJ13"/>
    <mergeCell ref="CK13:CN13"/>
    <mergeCell ref="CO13:CU13"/>
    <mergeCell ref="CV13:CY13"/>
    <mergeCell ref="CV11:CY11"/>
    <mergeCell ref="CZ11:DD11"/>
    <mergeCell ref="CA12:CB12"/>
    <mergeCell ref="CC12:CE12"/>
    <mergeCell ref="CF12:CJ12"/>
    <mergeCell ref="CK12:CN12"/>
    <mergeCell ref="CO12:CU12"/>
    <mergeCell ref="CV12:CY12"/>
    <mergeCell ref="CZ12:DD12"/>
    <mergeCell ref="CW6:CY6"/>
    <mergeCell ref="DA6:DD6"/>
    <mergeCell ref="CA7:DD7"/>
    <mergeCell ref="CA9:CD9"/>
    <mergeCell ref="CF9:DD9"/>
    <mergeCell ref="CA11:CB11"/>
    <mergeCell ref="CC11:CE11"/>
    <mergeCell ref="CF11:CJ11"/>
    <mergeCell ref="CK11:CN11"/>
    <mergeCell ref="CO11:CU11"/>
    <mergeCell ref="CA1:DD1"/>
    <mergeCell ref="CA2:DD2"/>
    <mergeCell ref="CA3:DD3"/>
    <mergeCell ref="CA4:DD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5</vt:i4>
      </vt:variant>
      <vt:variant>
        <vt:lpstr>Adlandırılmış Aralıklar</vt:lpstr>
      </vt:variant>
      <vt:variant>
        <vt:i4>7</vt:i4>
      </vt:variant>
    </vt:vector>
  </HeadingPairs>
  <TitlesOfParts>
    <vt:vector size="12" baseType="lpstr">
      <vt:lpstr>yillikfaturaraporu</vt:lpstr>
      <vt:lpstr>aylikfaturalar</vt:lpstr>
      <vt:lpstr>abonelikyillikfaturalar</vt:lpstr>
      <vt:lpstr>abonelikaylikfaturalar</vt:lpstr>
      <vt:lpstr>abonelikturuyillikfaturalar</vt:lpstr>
      <vt:lpstr>abonelikaylikfaturalar!Yazdırma_Alanı</vt:lpstr>
      <vt:lpstr>abonelikturuyillikfaturalar!Yazdırma_Alanı</vt:lpstr>
      <vt:lpstr>abonelikyillikfaturalar!Yazdırma_Alanı</vt:lpstr>
      <vt:lpstr>aylikfaturalar!Yazdırma_Alanı</vt:lpstr>
      <vt:lpstr>yillikfaturaraporu!Yazdırma_Alanı</vt:lpstr>
      <vt:lpstr>abonelikyillikfaturalar!Yazdırma_Başlıkları</vt:lpstr>
      <vt:lpstr>yillikfaturaraporu!Yazdırma_Başlıkları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msoft12019</dc:creator>
  <cp:lastModifiedBy>msoft12019</cp:lastModifiedBy>
  <dcterms:created xsi:type="dcterms:W3CDTF">2026-05-31T21:21:41Z</dcterms:created>
  <dcterms:modified xsi:type="dcterms:W3CDTF">2026-05-31T21:29:52Z</dcterms:modified>
</cp:coreProperties>
</file>